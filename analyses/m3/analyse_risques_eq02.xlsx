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fb997cf8e3942bc" /></Relationships>
</file>

<file path=xl/workbook.xml><?xml version="1.0" encoding="utf-8"?>
<x:workbook xmlns:x="http://schemas.openxmlformats.org/spreadsheetml/2006/main">
  <x:sheets>
    <x:sheet xmlns:r="http://schemas.openxmlformats.org/officeDocument/2006/relationships" name="Lisez-moi" sheetId="1" r:id="R0ed5018d41dd4e19"/>
    <x:sheet xmlns:r="http://schemas.openxmlformats.org/officeDocument/2006/relationships" name="Échelles" sheetId="2" r:id="Rbffe55911d6a4d1e"/>
    <x:sheet xmlns:r="http://schemas.openxmlformats.org/officeDocument/2006/relationships" name="Analyse de risques" sheetId="3" r:id="R9781b2f906f14d7c"/>
    <x:sheet xmlns:r="http://schemas.openxmlformats.org/officeDocument/2006/relationships" name="Synthèse" sheetId="4" r:id="R1aa37e6be47a4521"/>
    <x:sheet xmlns:r="http://schemas.openxmlformats.org/officeDocument/2006/relationships" name="Suivi et sources" sheetId="5" r:id="Rd51f591f39154dbb"/>
  </x:sheets>
</x:workbook>
</file>

<file path=xl/sharedStrings.xml><?xml version="1.0" encoding="utf-8"?>
<x:sst xmlns:x="http://schemas.openxmlformats.org/spreadsheetml/2006/main"/>
</file>

<file path=xl/styles.xml><?xml version="1.0" encoding="utf-8"?>
<x:styleSheet xmlns:x="http://schemas.openxmlformats.org/spreadsheetml/2006/main">
  <x:fonts count="16">
    <x:font>
      <x:sz val="11"/>
      <x:color theme="1"/>
      <x:name val="Calibri"/>
      <x:family val="2"/>
      <x:scheme val="minor"/>
    </x:font>
    <x:font>
      <x:b/>
      <x:sz val="14"/>
    </x:font>
    <x:font>
      <x:sz val="11"/>
      <x:color rgb="FF595959"/>
    </x:font>
    <x:font>
      <x:b/>
      <x:sz val="11"/>
    </x:font>
    <x:font>
      <x:sz val="11"/>
      <x:color rgb="FF0000FF"/>
    </x:font>
    <x:font>
      <x:b/>
      <x:sz val="11"/>
      <x:color rgb="FFFFFFFF"/>
    </x:font>
    <x:font>
      <x:i/>
      <x:color rgb="FF595959"/>
    </x:font>
    <x:font>
      <x:i/>
      <x:sz val="11"/>
      <x:color rgb="FF0000FF"/>
    </x:font>
    <x:font>
      <x:b/>
      <x:color rgb="FFFFFFFF"/>
    </x:font>
    <x:font>
      <x:b/>
      <x:sz val="11"/>
      <x:color rgb="FF8A3E00"/>
      <x:name val="Calibri"/>
      <x:family val="2"/>
      <x:scheme val="minor"/>
    </x:font>
    <x:font>
      <x:sz val="11"/>
      <x:color rgb="FF0000FF"/>
    </x:font>
    <x:font>
      <x:sz val="11"/>
      <x:color theme="1"/>
      <x:name val="Calibri"/>
      <x:family val="2"/>
      <x:scheme val="minor"/>
    </x:font>
    <x:font>
      <x:sz val="11"/>
      <x:color rgb="FF8A3E00"/>
      <x:name val="Calibri"/>
      <x:family val="2"/>
      <x:scheme val="minor"/>
    </x:font>
    <x:font>
      <x:b/>
      <x:sz val="14"/>
      <x:color theme="1"/>
      <x:name val="Arial"/>
      <x:family val="2"/>
      <x:scheme val="minor"/>
    </x:font>
    <x:font>
      <x:sz val="11"/>
      <x:color theme="1"/>
      <x:name val="Arial"/>
      <x:family val="2"/>
      <x:scheme val="minor"/>
    </x:font>
    <x:font>
      <x:b/>
      <x:sz val="11"/>
      <x:color rgb="FFFFFFFF"/>
      <x:name val="Arial"/>
      <x:family val="2"/>
      <x:scheme val="minor"/>
    </x:font>
  </x:fonts>
  <x:fills count="11">
    <x:fill>
      <x:patternFill patternType="none"/>
    </x:fill>
    <x:fill>
      <x:patternFill patternType="gray125"/>
    </x:fill>
    <x:fill>
      <x:patternFill patternType="solid">
        <x:fgColor rgb="FFDDEBF7"/>
      </x:patternFill>
    </x:fill>
    <x:fill>
      <x:patternFill patternType="solid">
        <x:fgColor rgb="FF1F4E78"/>
      </x:patternFill>
    </x:fill>
    <x:fill>
      <x:patternFill patternType="solid">
        <x:fgColor rgb="FFD6E4F2"/>
      </x:patternFill>
    </x:fill>
    <x:fill>
      <x:patternFill patternType="solid">
        <x:fgColor rgb="FFE7E6E6"/>
      </x:patternFill>
    </x:fill>
    <x:fill>
      <x:patternFill patternType="solid">
        <x:fgColor rgb="FFDCF4EA"/>
      </x:patternFill>
    </x:fill>
    <x:fill>
      <x:patternFill patternType="solid">
        <x:fgColor rgb="FFF2F2F2"/>
      </x:patternFill>
    </x:fill>
    <x:fill>
      <x:patternFill patternType="solid">
        <x:fgColor rgb="FFF6B08F"/>
      </x:patternFill>
    </x:fill>
    <x:fill>
      <x:patternFill patternType="solid">
        <x:fgColor rgb="FFEB6834"/>
      </x:patternFill>
    </x:fill>
    <x:fill>
      <x:patternFill patternType="solid">
        <x:fgColor rgb="FF1F4E78"/>
      </x:patternFill>
    </x:fill>
  </x:fills>
  <x:borders count="6">
    <x:border>
      <x:left/>
      <x:right/>
      <x:top/>
      <x:bottom/>
      <x:diagonal/>
    </x:border>
    <x:border>
      <x:left style="thin">
        <x:color rgb="FFBFBFBF"/>
      </x:left>
      <x:right style="thin">
        <x:color rgb="FFBFBFBF"/>
      </x:right>
      <x:top style="thin">
        <x:color rgb="FFBFBFBF"/>
      </x:top>
      <x:bottom style="thin">
        <x:color rgb="FFBFBFBF"/>
      </x:bottom>
    </x:border>
    <x:border>
      <x:left/>
      <x:right/>
      <x:top style="thin">
        <x:color rgb="FFBFBFBF"/>
      </x:top>
      <x:bottom/>
      <x:diagonal/>
    </x:border>
    <x:border>
      <x:left/>
      <x:right style="thin">
        <x:color rgb="FFBFBFBF"/>
      </x:right>
      <x:top style="thin">
        <x:color rgb="FFBFBFBF"/>
      </x:top>
      <x:bottom/>
      <x:diagonal/>
    </x:border>
    <x:border>
      <x:left/>
      <x:right/>
      <x:top style="thin">
        <x:color rgb="FFBFBFBF"/>
      </x:top>
      <x:bottom style="thin">
        <x:color rgb="FFBFBFBF"/>
      </x:bottom>
      <x:diagonal/>
    </x:border>
    <x:border>
      <x:left/>
      <x:right style="thin">
        <x:color rgb="FFBFBFBF"/>
      </x:right>
      <x:top style="thin">
        <x:color rgb="FFBFBFBF"/>
      </x:top>
      <x:bottom style="thin">
        <x:color rgb="FFBFBFBF"/>
      </x:bottom>
      <x:diagonal/>
    </x:border>
  </x:borders>
  <x:cellStyleXfs count="1">
    <x:xf numFmtId="0" fontId="0" fillId="0" borderId="0"/>
  </x:cellStyleXfs>
  <x:cellXfs count="49">
    <x:xf numFmtId="0" fontId="0" fillId="0" borderId="0" xfId="0"/>
    <x:xf numFmtId="0" fontId="1" fillId="0" borderId="0" xfId="0" applyAlignment="1">
      <x:alignment vertical="top" wrapText="1"/>
    </x:xf>
    <x:xf numFmtId="0" fontId="2" fillId="0" borderId="0" xfId="0" applyAlignment="1">
      <x:alignment vertical="top" wrapText="1"/>
    </x:xf>
    <x:xf numFmtId="0" fontId="3" fillId="0" borderId="0" xfId="0" applyAlignment="1">
      <x:alignment vertical="top" wrapText="1"/>
    </x:xf>
    <x:xf numFmtId="0" fontId="0" fillId="0" borderId="0" xfId="0" applyAlignment="1">
      <x:alignment vertical="top" wrapText="1"/>
    </x:xf>
    <x:xf numFmtId="0" fontId="4" fillId="2" borderId="0" xfId="0" applyAlignment="1">
      <x:alignment vertical="top" wrapText="1"/>
    </x:xf>
    <x:xf numFmtId="0" fontId="1" fillId="0" borderId="0" xfId="0"/>
    <x:xf numFmtId="0" fontId="5" fillId="3" borderId="1" xfId="0"/>
    <x:xf numFmtId="0" fontId="0" fillId="0" borderId="1" xfId="0" applyAlignment="1">
      <x:alignment vertical="top" wrapText="1"/>
    </x:xf>
    <x:xf numFmtId="0" fontId="3" fillId="0" borderId="0" xfId="0"/>
    <x:xf numFmtId="0" fontId="0" fillId="0" borderId="1" xfId="0"/>
    <x:xf numFmtId="0" fontId="6" fillId="0" borderId="0" xfId="0"/>
    <x:xf numFmtId="0" fontId="5" fillId="3" borderId="1" xfId="0" applyAlignment="1">
      <x:alignment horizontal="center" vertical="center" wrapText="1"/>
    </x:xf>
    <x:xf numFmtId="0" fontId="0" fillId="0" borderId="1" xfId="0" applyAlignment="1">
      <x:alignment horizontal="center" vertical="center" wrapText="1"/>
    </x:xf>
    <x:xf numFmtId="0" fontId="4" fillId="2" borderId="0" xfId="0"/>
    <x:xf numFmtId="0" fontId="3" fillId="4" borderId="0" xfId="0" applyAlignment="1">
      <x:alignment horizontal="center" vertical="center" wrapText="1"/>
    </x:xf>
    <x:xf numFmtId="0" fontId="3" fillId="5" borderId="0" xfId="0" applyAlignment="1">
      <x:alignment horizontal="center" vertical="center" wrapText="1"/>
    </x:xf>
    <x:xf numFmtId="0" fontId="3" fillId="6" borderId="0" xfId="0" applyAlignment="1">
      <x:alignment horizontal="center" vertical="center" wrapText="1"/>
    </x:xf>
    <x:xf numFmtId="0" fontId="3" fillId="7" borderId="0" xfId="0" applyAlignment="1">
      <x:alignment horizontal="center" vertical="center" wrapText="1"/>
    </x:xf>
    <x:xf numFmtId="0" fontId="7" fillId="2" borderId="1" xfId="0" applyAlignment="1">
      <x:alignment vertical="top" wrapText="1"/>
    </x:xf>
    <x:xf numFmtId="0" fontId="7" fillId="2" borderId="1" xfId="0" applyAlignment="1">
      <x:alignment horizontal="center" vertical="center" wrapText="1"/>
    </x:xf>
    <x:xf numFmtId="0" fontId="4" fillId="2" borderId="1" xfId="0" applyAlignment="1">
      <x:alignment vertical="top" wrapText="1"/>
    </x:xf>
    <x:xf numFmtId="0" fontId="4" fillId="2" borderId="1" xfId="0" applyAlignment="1">
      <x:alignment horizontal="center" vertical="center" wrapText="1"/>
    </x:xf>
    <x:xf numFmtId="0" fontId="0" fillId="8" borderId="1" xfId="0" applyAlignment="1">
      <x:alignment horizontal="center" vertical="center" wrapText="1"/>
    </x:xf>
    <x:xf numFmtId="0" fontId="8" fillId="9" borderId="1" xfId="0" applyAlignment="1">
      <x:alignment horizontal="center" vertical="center" wrapText="1"/>
    </x:xf>
    <x:xf numFmtId="0" fontId="0" fillId="6" borderId="1" xfId="0" applyAlignment="1">
      <x:alignment horizontal="center" vertical="center" wrapText="1"/>
    </x:xf>
    <x:xf numFmtId="0" fontId="2" fillId="0" borderId="0" xfId="0"/>
    <x:xf numFmtId="0" fontId="0" fillId="0" borderId="4" xfId="0"/>
    <x:xf numFmtId="0" fontId="0" fillId="0" borderId="5" xfId="0"/>
    <x:xf numFmtId="0" fontId="9" fillId="0" borderId="0" xfId="0" applyNumberFormat="1" applyFont="1" applyFill="1" applyBorder="1"/>
    <x:xf numFmtId="0" fontId="9" fillId="0" borderId="0" xfId="0" applyNumberFormat="1" applyFont="1" applyFill="1" applyBorder="1" applyAlignment="1">
      <x:alignment wrapText="1"/>
    </x:xf>
    <x:xf numFmtId="0" fontId="10" fillId="2" borderId="1" xfId="0" applyNumberFormat="1" applyFont="1" applyFill="1" applyBorder="1" applyAlignment="1">
      <x:alignment vertical="top" wrapText="1"/>
    </x:xf>
    <x:xf numFmtId="0" fontId="10" fillId="2" borderId="1" xfId="0" applyNumberFormat="1" applyFont="1" applyFill="1" applyBorder="1" applyAlignment="1">
      <x:alignment horizontal="center" vertical="center" wrapText="1"/>
    </x:xf>
    <x:xf numFmtId="0" fontId="11" fillId="0" borderId="1" xfId="0" applyNumberFormat="1" applyFont="1" applyFill="1" applyBorder="1" applyAlignment="1">
      <x:alignment horizontal="center" vertical="center" wrapText="1"/>
    </x:xf>
    <x:xf numFmtId="0" fontId="0" fillId="0" borderId="1" xfId="0" applyNumberFormat="1" applyFont="1" applyFill="1" applyBorder="1" applyAlignment="1">
      <x:alignment horizontal="center" vertical="center" wrapText="1"/>
    </x:xf>
    <x:xf numFmtId="0" fontId="4" fillId="2" borderId="1" xfId="0" applyNumberFormat="1" applyFont="1" applyFill="1" applyBorder="1" applyAlignment="1">
      <x:alignment vertical="top" wrapText="1"/>
    </x:xf>
    <x:xf numFmtId="0" fontId="4" fillId="2" borderId="1" xfId="0" applyNumberFormat="1" applyFont="1" applyFill="1" applyBorder="1" applyAlignment="1">
      <x:alignment horizontal="center" vertical="center" wrapText="1"/>
    </x:xf>
    <x:xf numFmtId="0" fontId="3" fillId="0" borderId="0" xfId="0" applyNumberFormat="1" applyFont="1" applyFill="1" applyBorder="1" applyAlignment="1">
      <x:alignment wrapText="1"/>
    </x:xf>
    <x:xf numFmtId="0" fontId="5" fillId="3" borderId="1" xfId="0" applyNumberFormat="1" applyFont="1" applyFill="1" applyBorder="1" applyAlignment="1">
      <x:alignment horizontal="center" vertical="center" wrapText="1"/>
    </x:xf>
    <x:xf numFmtId="0" fontId="12" fillId="0" borderId="0" xfId="0" applyNumberFormat="1" applyFont="1" applyFill="1" applyBorder="1"/>
    <x:xf numFmtId="0" fontId="12" fillId="0"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3" fillId="0" borderId="0" xfId="0" applyNumberFormat="1" applyFont="1" applyFill="1" applyBorder="1"/>
    <x:xf numFmtId="0" fontId="14" fillId="0" borderId="0" xfId="0" applyNumberFormat="1" applyFont="1" applyFill="1" applyBorder="1"/>
    <x:xf numFmtId="0" fontId="14" fillId="0" borderId="0" xfId="0" applyNumberFormat="1" applyFont="1" applyFill="1" applyBorder="1" applyAlignment="1">
      <x:alignment wrapText="1"/>
    </x:xf>
    <x:xf numFmtId="0" fontId="14" fillId="0" borderId="0" xfId="0" applyNumberFormat="1" applyFont="1" applyFill="1" applyBorder="1" applyAlignment="1">
      <x:alignment vertical="top" wrapText="1"/>
    </x:xf>
    <x:xf numFmtId="0" fontId="14" fillId="10" borderId="0" xfId="0" applyNumberFormat="1" applyFont="1" applyFill="1" applyBorder="1" applyAlignment="1">
      <x:alignment vertical="top" wrapText="1"/>
    </x:xf>
    <x:xf numFmtId="0" fontId="15" fillId="10" borderId="0" xfId="0" applyNumberFormat="1" applyFont="1" applyFill="1" applyBorder="1" applyAlignment="1">
      <x:alignment vertical="top" wrapText="1"/>
    </x:xf>
  </x:cellXfs>
  <x:cellStyles count="1">
    <x:cellStyle name="Normal" xfId="0"/>
  </x:cellStyles>
  <x:dxfs count="3">
    <x:dxf>
      <x:font>
        <x:b/>
        <x:color rgb="00FFFFFF"/>
      </x:font>
      <x:fill>
        <x:patternFill>
          <x:bgColor rgb="00EB6834"/>
        </x:patternFill>
      </x:fill>
    </x:dxf>
    <x:dxf>
      <x:font>
        <x:b/>
      </x:font>
      <x:fill>
        <x:patternFill>
          <x:bgColor rgb="00F6B08F"/>
        </x:patternFill>
      </x:fill>
    </x:dxf>
    <x:dxf>
      <x:fill>
        <x:patternFill>
          <x:bgColor rgb="00DCF4EA"/>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fd9fa23d94d3415c" /><Relationship Type="http://schemas.openxmlformats.org/officeDocument/2006/relationships/theme" Target="/xl/theme/theme1.xml" Id="Raa41944958384e90" /><Relationship Type="http://schemas.openxmlformats.org/officeDocument/2006/relationships/sharedStrings" Target="/xl/sharedStrings.xml" Id="Rc3ffbefa3407415e" /><Relationship Type="http://schemas.openxmlformats.org/officeDocument/2006/relationships/worksheet" Target="/xl/worksheets/sheet1.xml" Id="R0ed5018d41dd4e19" /><Relationship Type="http://schemas.openxmlformats.org/officeDocument/2006/relationships/worksheet" Target="/xl/worksheets/sheet2.xml" Id="Rbffe55911d6a4d1e" /><Relationship Type="http://schemas.openxmlformats.org/officeDocument/2006/relationships/worksheet" Target="/xl/worksheets/sheet3.xml" Id="R9781b2f906f14d7c" /><Relationship Type="http://schemas.openxmlformats.org/officeDocument/2006/relationships/worksheet" Target="/xl/worksheets/sheet4.xml" Id="R1aa37e6be47a4521" /><Relationship Type="http://schemas.openxmlformats.org/officeDocument/2006/relationships/worksheet" Target="/xl/worksheets/sheet5.xml" Id="Rd51f591f39154dbb"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25" customWidth="1"/>
  </x:cols>
  <x:sheetData>
    <x:row r="1">
      <x:c r="A1" s="1" t="inlineStr">
        <x:is>
          <x:t xml:space="preserve">Analyse de risques ISO 14971 simplifiée — TP M3-2</x:t>
        </x:is>
      </x:c>
    </x:row>
    <x:row r="2">
      <x:c r="A2" s="2" t="inlineStr">
        <x:is>
          <x:t xml:space="preserve">Module 3 — vendredi 16 octobre 2026 — MBA Santé, IA &amp; IoT — Epitech — Nicolas LAURIO</x:t>
        </x:is>
      </x:c>
    </x:row>
    <x:row r="3">
      <x:c r="A3" s="3" t="inlineStr">
        <x:is>
          <x:t xml:space="preserve">Exercice d'entraînement. Matrice d'exemple, simplifiée pour le cours : dans un vrai dossier, le fabricant définit lui-même ses échelles et ses seuils.</x:t>
        </x:is>
      </x:c>
    </x:row>
    <x:row r="4">
      <x:c r="A4" s="4" t="inlineStr">
        <x:is>
          <x:t xml:space="preserve"/>
        </x:is>
      </x:c>
    </x:row>
    <x:row r="5">
      <x:c r="A5" s="3" t="inlineStr">
        <x:is>
          <x:t xml:space="preserve">Légende des cellules</x:t>
        </x:is>
      </x:c>
    </x:row>
    <x:row r="6">
      <x:c r="A6" s="5" t="inlineStr">
        <x:is>
          <x:t xml:space="preserve">Police bleue sur fond bleu pâle = à remplir par l'équipe (listes déroulantes : type de danger, gravité, probabilité).</x:t>
        </x:is>
      </x:c>
    </x:row>
    <x:row r="7">
      <x:c r="A7" s="4" t="inlineStr">
        <x:is>
          <x:t xml:space="preserve">Police noire sur fond blanc dans les colonnes « Risque » et « Niveau » = formule : ne pas écraser.</x:t>
        </x:is>
      </x:c>
    </x:row>
    <x:row r="8">
      <x:c r="A8" s="4" t="inlineStr">
        <x:is>
          <x:t xml:space="preserve">Couleur automatique du niveau : vert pâle = faible (acceptable), orange clair = moyen (à réduire), orange foncé = élevé (inacceptable).</x:t>
        </x:is>
      </x:c>
    </x:row>
    <x:row r="9">
      <x:c r="A9" s="4" t="inlineStr">
        <x:is>
          <x:t xml:space="preserve"/>
        </x:is>
      </x:c>
    </x:row>
    <x:row r="10">
      <x:c r="A10" s="3" t="inlineStr">
        <x:is>
          <x:t xml:space="preserve">La chaîne à remplir, de gauche à droite (comme une rangée de dominos)</x:t>
        </x:is>
      </x:c>
    </x:row>
    <x:row r="11">
      <x:c r="A11" s="4" t="inlineStr">
        <x:is>
          <x:t xml:space="preserve">Danger (ce qui peut faire du mal) → séquence d'événements (ce qui s'enchaîne) → situation dangereuse (une personne est exposée) → dommage (l'atteinte à la santé).</x:t>
        </x:is>
      </x:c>
    </x:row>
    <x:row r="12">
      <x:c r="A12" s="4" t="inlineStr">
        <x:is>
          <x:t xml:space="preserve">Puis : gravité (1 à 3) × probabilité (1 à 3) = risque → niveau. Puis 3 mesures, dans l'ordre imposé : 1) conception, 2) protection, 3) information. Puis on recote : c'est le risque résiduel.</x:t>
        </x:is>
      </x:c>
    </x:row>
    <x:row r="13">
      <x:c r="A13" s="4" t="inlineStr">
        <x:is>
          <x:t xml:space="preserve"/>
        </x:is>
      </x:c>
    </x:row>
    <x:row r="14">
      <x:c r="A14" s="3" t="inlineStr">
        <x:is>
          <x:t xml:space="preserve">Onglets</x:t>
        </x:is>
      </x:c>
    </x:row>
    <x:row r="15">
      <x:c r="A15" s="4" t="inlineStr">
        <x:is>
          <x:t xml:space="preserve">Échelles : définitions de la gravité et de la probabilité, seuils des zones, matrice 3 × 3.</x:t>
        </x:is>
      </x:c>
    </x:row>
    <x:row r="16">
      <x:c r="A16" s="4" t="inlineStr">
        <x:is>
          <x:t xml:space="preserve">Analyse de risques : le tableau à remplir (ligne 9 = exemple rempli « batterie vide », à garder ou adapter).</x:t>
        </x:is>
      </x:c>
    </x:row>
    <x:row r="17">
      <x:c r="A17" s="4" t="inlineStr">
        <x:is>
          <x:t xml:space="preserve">Synthèse : nombre de risques dans chaque case de la matrice, avant et après les mesures ; contrôles.</x:t>
        </x:is>
      </x:c>
    </x:row>
    <x:row r="18">
      <x:c r="A18" s="4" t="inlineStr">
        <x:is>
          <x:t xml:space="preserve"/>
        </x:is>
      </x:c>
    </x:row>
    <x:row r="19">
      <x:c r="A19" s="3" t="inlineStr">
        <x:is>
          <x:t xml:space="preserve">Livrable</x:t>
        </x:is>
      </x:c>
    </x:row>
    <x:row r="20">
      <x:c r="A20" s="4" t="inlineStr">
        <x:is>
          <x:t xml:space="preserve">Enregistrez sous analyse_risques_eqNN.xlsx (NN = numéro d'équipe) dans analyses/m3/ du dépôt. Au moins 5 dangers : techniques, d'utilisation, de cybersécurité.</x:t>
        </x:is>
      </x:c>
    </x:row>
    <x:row r="22">
      <x:c r="A22" s="42" t="str">
        <x:v>Équipe 2 — Cas G, souris ergonomique P4 avec une batterie unique 1 500 mAh.</x:v>
      </x:c>
    </x:row>
    <x:row r="23" ht="62" customHeight="1">
      <x:c r="A23" s="42" t="str">
        <x:v>Finalité envisagée au TP M3-1, non réalisée ni validée cliniquement. Adultes utilisant un ordinateur ; suivi non urgent, sans décision thérapeutique automatique. La souris mesure des signaux au contact de la main ; son IMU ne mesure pas directement l'angle anatomique du poignet.</x:v>
      </x:c>
    </x:row>
    <x:row r="24" ht="62" customHeight="1">
      <x:c r="A24" s="42" t="str">
        <x:v>Échelles du cours : G et P de 1 à 3 ; risque = G × P ; faible 1–2, moyen 3–4, élevé 6–9. Les probabilités sont des hypothèses pédagogiques, pas des fréquences mesurées. Elles concernent le dommage, pas seulement la panne. L'évaluation initiale suppose l'usage envisagé sans les nouvelles mesures ; le résiduel est une cible après leur réalisation et vérification. Les contrôles OK du classeur ne prouvent pas la sécurité du prototype.</x:v>
      </x:c>
    </x:row>
    <x:row r="25" ht="62" customHeight="1">
      <x:c r="A25" s="42" t="str">
        <x:v>Livrable complété : analyses/m3/analyse_risques_eq02.xlsx. Les dix lignes remplacent l’exemple EHPAD. Aucun patient réel ni donnée personnelle.</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16" customWidth="1"/>
    <x:col min="2" max="2" width="22" customWidth="1"/>
    <x:col min="3" max="3" width="60" customWidth="1"/>
    <x:col min="4" max="4" width="18" customWidth="1"/>
    <x:col min="5" max="5" width="18" customWidth="1"/>
    <x:col min="6" max="6" width="18" customWidth="1"/>
  </x:cols>
  <x:sheetData>
    <x:row r="1">
      <x:c r="A1" s="6" t="inlineStr">
        <x:is>
          <x:t xml:space="preserve">Échelles de cotation (matrice d'exemple, simplifiée pour le cours)</x:t>
        </x:is>
      </x:c>
    </x:row>
    <x:row r="3">
      <x:c r="A3" s="7" t="inlineStr">
        <x:is>
          <x:t xml:space="preserve">Gravité</x:t>
        </x:is>
      </x:c>
      <x:c r="B3" s="7" t="inlineStr">
        <x:is>
          <x:t xml:space="preserve">Nom</x:t>
        </x:is>
      </x:c>
      <x:c r="C3" s="7" t="inlineStr">
        <x:is>
          <x:t xml:space="preserve">Ce que ça veut dire (exemple : cas A, EHPAD)</x:t>
        </x:is>
      </x:c>
    </x:row>
    <x:row r="4">
      <x:c r="A4" s="8" t="n">
        <x:v>1</x:v>
      </x:c>
      <x:c r="B4" s="8" t="inlineStr">
        <x:is>
          <x:t xml:space="preserve">Légère</x:t>
        </x:is>
      </x:c>
      <x:c r="C4" s="8" t="inlineStr">
        <x:is>
          <x:t xml:space="preserve">Gêne passagère, sans soins (ex. rougeur, résidente réveillée la nuit)</x:t>
        </x:is>
      </x:c>
    </x:row>
    <x:row r="5">
      <x:c r="A5" s="8" t="n">
        <x:v>2</x:v>
      </x:c>
      <x:c r="B5" s="8" t="inlineStr">
        <x:is>
          <x:t xml:space="preserve">Modérée</x:t>
        </x:is>
      </x:c>
      <x:c r="C5" s="8" t="inlineStr">
        <x:is>
          <x:t xml:space="preserve">Soins nécessaires, puis guérison (ex. plaie à panser, hématome)</x:t>
        </x:is>
      </x:c>
    </x:row>
    <x:row r="6">
      <x:c r="A6" s="8" t="n">
        <x:v>3</x:v>
      </x:c>
      <x:c r="B6" s="8" t="inlineStr">
        <x:is>
          <x:t xml:space="preserve">Grave</x:t>
        </x:is>
      </x:c>
      <x:c r="C6" s="8" t="inlineStr">
        <x:is>
          <x:t xml:space="preserve">Séquelles ou décès (ex. plusieurs heures au sol : déshydratation, escarres, hospitalisation)</x:t>
        </x:is>
      </x:c>
    </x:row>
    <x:row r="7">
      <x:c r="A7" s="7" t="inlineStr">
        <x:is>
          <x:t xml:space="preserve">Probabilité</x:t>
        </x:is>
      </x:c>
      <x:c r="B7" s="7" t="inlineStr">
        <x:is>
          <x:t xml:space="preserve">Nom</x:t>
        </x:is>
      </x:c>
      <x:c r="C7" s="7" t="inlineStr">
        <x:is>
          <x:t xml:space="preserve">Ce que ça veut dire (repère pour un EHPAD équipé)</x:t>
        </x:is>
      </x:c>
    </x:row>
    <x:row r="8">
      <x:c r="A8" s="8" t="n">
        <x:v>1</x:v>
      </x:c>
      <x:c r="B8" s="8" t="inlineStr">
        <x:is>
          <x:t xml:space="preserve">Rare</x:t>
        </x:is>
      </x:c>
      <x:c r="C8" s="8" t="inlineStr">
        <x:is>
          <x:t xml:space="preserve">On l'imagine difficilement : peut-être une fois en plusieurs années</x:t>
        </x:is>
      </x:c>
    </x:row>
    <x:row r="9">
      <x:c r="A9" s="8" t="n">
        <x:v>2</x:v>
      </x:c>
      <x:c r="B9" s="8" t="inlineStr">
        <x:is>
          <x:t xml:space="preserve">Possible</x:t>
        </x:is>
      </x:c>
      <x:c r="C9" s="8" t="inlineStr">
        <x:is>
          <x:t xml:space="preserve">Cela arrivera sans doute un jour : quelques fois par an</x:t>
        </x:is>
      </x:c>
    </x:row>
    <x:row r="10">
      <x:c r="A10" s="8" t="n">
        <x:v>3</x:v>
      </x:c>
      <x:c r="B10" s="8" t="inlineStr">
        <x:is>
          <x:t xml:space="preserve">Fréquente</x:t>
        </x:is>
      </x:c>
      <x:c r="C10" s="8" t="inlineStr">
        <x:is>
          <x:t xml:space="preserve">On s'y attend : chaque mois, voire plus souvent</x:t>
        </x:is>
      </x:c>
    </x:row>
    <x:row r="12">
      <x:c r="A12" s="9" t="inlineStr">
        <x:is>
          <x:t xml:space="preserve">Seuils des zones (risque = gravité × probabilité, de 1 à 9)</x:t>
        </x:is>
      </x:c>
    </x:row>
    <x:row r="13">
      <x:c r="A13" s="7" t="inlineStr">
        <x:is>
          <x:t xml:space="preserve">Zone</x:t>
        </x:is>
      </x:c>
      <x:c r="B13" s="7" t="inlineStr">
        <x:is>
          <x:t xml:space="preserve">Mot des slides</x:t>
        </x:is>
      </x:c>
      <x:c r="C13" s="7" t="inlineStr">
        <x:is>
          <x:t xml:space="preserve">À partir d'un risque de…</x:t>
        </x:is>
      </x:c>
    </x:row>
    <x:row r="14">
      <x:c r="A14" s="10" t="inlineStr">
        <x:is>
          <x:t xml:space="preserve">À réduire</x:t>
        </x:is>
      </x:c>
      <x:c r="B14" s="10" t="inlineStr">
        <x:is>
          <x:t xml:space="preserve">Moyen</x:t>
        </x:is>
      </x:c>
      <x:c r="C14" s="10" t="n">
        <x:v>3</x:v>
      </x:c>
      <x:c r="D14" t="inlineStr">
        <x:is>
          <x:t xml:space="preserve">Moyen : réduire autant que possible, puis justifier par le bénéfice.</x:t>
        </x:is>
      </x:c>
    </x:row>
    <x:row r="15">
      <x:c r="A15" s="10" t="inlineStr">
        <x:is>
          <x:t xml:space="preserve">Inacceptable</x:t>
        </x:is>
      </x:c>
      <x:c r="B15" s="10" t="inlineStr">
        <x:is>
          <x:t xml:space="preserve">Élevé</x:t>
        </x:is>
      </x:c>
      <x:c r="C15" s="10" t="n">
        <x:v>6</x:v>
      </x:c>
      <x:c r="D15" t="inlineStr">
        <x:is>
          <x:t xml:space="preserve">Élevé : inacceptable en l'état, il faut réduire le risque.</x:t>
        </x:is>
      </x:c>
    </x:row>
    <x:row r="16">
      <x:c r="A16" s="10" t="inlineStr">
        <x:is>
          <x:t xml:space="preserve">Acceptable</x:t>
        </x:is>
      </x:c>
      <x:c r="B16" s="10" t="inlineStr">
        <x:is>
          <x:t xml:space="preserve">Faible</x:t>
        </x:is>
      </x:c>
      <x:c r="C16" s="10" t="inlineStr">
        <x:is>
          <x:t xml:space="preserve">en dessous de 3 (1 ou 2)</x:t>
        </x:is>
      </x:c>
      <x:c r="D16" t="inlineStr">
        <x:is>
          <x:t xml:space="preserve">Faible : acceptable, on le note quand même.</x:t>
        </x:is>
      </x:c>
    </x:row>
    <x:row r="18">
      <x:c r="A18" s="9" t="inlineStr">
        <x:is>
          <x:t xml:space="preserve">Quelles cases dans quelle zone ?</x:t>
        </x:is>
      </x:c>
    </x:row>
    <x:row r="19">
      <x:c r="A19" t="inlineStr">
        <x:is>
          <x:t xml:space="preserve">Faible (acceptable) : Légère × Rare (1), Légère × Possible (2), Modérée × Rare (2).</x:t>
        </x:is>
      </x:c>
    </x:row>
    <x:row r="20">
      <x:c r="A20" t="inlineStr">
        <x:is>
          <x:t xml:space="preserve">Moyen (à réduire) : Légère × Fréquente (3), Grave × Rare (3), Modérée × Possible (4).</x:t>
        </x:is>
      </x:c>
    </x:row>
    <x:row r="21">
      <x:c r="A21" t="inlineStr">
        <x:is>
          <x:t xml:space="preserve">Élevé (inacceptable) : Modérée × Fréquente (6), Grave × Possible (6), Grave × Fréquente (9).</x:t>
        </x:is>
      </x:c>
    </x:row>
    <x:row r="22">
      <x:c r="A22" s="11" t="inlineStr">
        <x:is>
          <x:t xml:space="preserve">Conséquence : un dommage grave ne descend jamais sous « moyen ». On le réduit autant que possible, puis on justifie par le bénéfice pour le patient.</x:t>
        </x:is>
      </x:c>
    </x:row>
    <x:row r="24">
      <x:c r="A24" s="9" t="inlineStr">
        <x:is>
          <x:t xml:space="preserve">Matrice 3 × 3 (calculée)</x:t>
        </x:is>
      </x:c>
    </x:row>
    <x:row r="25" ht="42" customHeight="1">
      <x:c r="A25" s="37" t="inlineStr">
        <x:is>
          <x:t xml:space="preserve">Gravité ↓ / Probabilité →</x:t>
        </x:is>
      </x:c>
      <x:c r="B25" s="38" t="inlineStr">
        <x:is>
          <x:t xml:space="preserve">1 Rare</x:t>
        </x:is>
      </x:c>
      <x:c r="C25" s="38" t="inlineStr">
        <x:is>
          <x:t xml:space="preserve">2 Possible</x:t>
        </x:is>
      </x:c>
      <x:c r="D25" s="38" t="inlineStr">
        <x:is>
          <x:t xml:space="preserve">3 Fréquente</x:t>
        </x:is>
      </x:c>
    </x:row>
    <x:row r="26" ht="30" customHeight="1">
      <x:c r="A26" s="7" t="inlineStr">
        <x:is>
          <x:t xml:space="preserve">3 Grave</x:t>
        </x:is>
      </x:c>
      <x:c r="B26" s="13" t="str">
        <x:f>VALUE(LEFT($A26,1))*VALUE(LEFT(B$25,1))&amp;" : "&amp;IF(VALUE(LEFT($A26,1))*VALUE(LEFT(B$25,1))&gt;=$C$15,"Élevé",IF(VALUE(LEFT($A26,1))*VALUE(LEFT(B$25,1))&gt;=$C$14,"Moyen","Faible"))</x:f>
        <x:v>3 : Moyen</x:v>
      </x:c>
      <x:c r="C26" s="13" t="str">
        <x:f>VALUE(LEFT($A26,1))*VALUE(LEFT(C$25,1))&amp;" : "&amp;IF(VALUE(LEFT($A26,1))*VALUE(LEFT(C$25,1))&gt;=$C$15,"Élevé",IF(VALUE(LEFT($A26,1))*VALUE(LEFT(C$25,1))&gt;=$C$14,"Moyen","Faible"))</x:f>
        <x:v>6 : Élevé</x:v>
      </x:c>
      <x:c r="D26" s="13" t="str">
        <x:f>VALUE(LEFT($A26,1))*VALUE(LEFT(D$25,1))&amp;" : "&amp;IF(VALUE(LEFT($A26,1))*VALUE(LEFT(D$25,1))&gt;=$C$15,"Élevé",IF(VALUE(LEFT($A26,1))*VALUE(LEFT(D$25,1))&gt;=$C$14,"Moyen","Faible"))</x:f>
        <x:v>9 : Élevé</x:v>
      </x:c>
    </x:row>
    <x:row r="27" ht="30" customHeight="1">
      <x:c r="A27" s="7" t="inlineStr">
        <x:is>
          <x:t xml:space="preserve">2 Modérée</x:t>
        </x:is>
      </x:c>
      <x:c r="B27" s="13" t="str">
        <x:f>VALUE(LEFT($A27,1))*VALUE(LEFT(B$25,1))&amp;" : "&amp;IF(VALUE(LEFT($A27,1))*VALUE(LEFT(B$25,1))&gt;=$C$15,"Élevé",IF(VALUE(LEFT($A27,1))*VALUE(LEFT(B$25,1))&gt;=$C$14,"Moyen","Faible"))</x:f>
        <x:v>2 : Faible</x:v>
      </x:c>
      <x:c r="C27" s="13" t="str">
        <x:f>VALUE(LEFT($A27,1))*VALUE(LEFT(C$25,1))&amp;" : "&amp;IF(VALUE(LEFT($A27,1))*VALUE(LEFT(C$25,1))&gt;=$C$15,"Élevé",IF(VALUE(LEFT($A27,1))*VALUE(LEFT(C$25,1))&gt;=$C$14,"Moyen","Faible"))</x:f>
        <x:v>4 : Moyen</x:v>
      </x:c>
      <x:c r="D27" s="13" t="str">
        <x:f>VALUE(LEFT($A27,1))*VALUE(LEFT(D$25,1))&amp;" : "&amp;IF(VALUE(LEFT($A27,1))*VALUE(LEFT(D$25,1))&gt;=$C$15,"Élevé",IF(VALUE(LEFT($A27,1))*VALUE(LEFT(D$25,1))&gt;=$C$14,"Moyen","Faible"))</x:f>
        <x:v>6 : Élevé</x:v>
      </x:c>
    </x:row>
    <x:row r="28" ht="30" customHeight="1">
      <x:c r="A28" s="7" t="inlineStr">
        <x:is>
          <x:t xml:space="preserve">1 Légère</x:t>
        </x:is>
      </x:c>
      <x:c r="B28" s="13" t="str">
        <x:f>VALUE(LEFT($A28,1))*VALUE(LEFT(B$25,1))&amp;" : "&amp;IF(VALUE(LEFT($A28,1))*VALUE(LEFT(B$25,1))&gt;=$C$15,"Élevé",IF(VALUE(LEFT($A28,1))*VALUE(LEFT(B$25,1))&gt;=$C$14,"Moyen","Faible"))</x:f>
        <x:v>1 : Faible</x:v>
      </x:c>
      <x:c r="C28" s="13" t="str">
        <x:f>VALUE(LEFT($A28,1))*VALUE(LEFT(C$25,1))&amp;" : "&amp;IF(VALUE(LEFT($A28,1))*VALUE(LEFT(C$25,1))&gt;=$C$15,"Élevé",IF(VALUE(LEFT($A28,1))*VALUE(LEFT(C$25,1))&gt;=$C$14,"Moyen","Faible"))</x:f>
        <x:v>2 : Faible</x:v>
      </x:c>
      <x:c r="D28" s="13" t="str">
        <x:f>VALUE(LEFT($A28,1))*VALUE(LEFT(D$25,1))&amp;" : "&amp;IF(VALUE(LEFT($A28,1))*VALUE(LEFT(D$25,1))&gt;=$C$15,"Élevé",IF(VALUE(LEFT($A28,1))*VALUE(LEFT(D$25,1))&gt;=$C$14,"Moyen","Faible"))</x:f>
        <x:v>3 : Moyen</x:v>
      </x:c>
    </x:row>
    <x:row r="30" ht="22" customHeight="1">
      <x:c r="A30" s="41" t="str">
        <x:v>Application au cas G : les repères EHPAD ci-dessus sont ceux du cours. Les probabilités du projet sont des hypothèses qualitatives de dommage pendant l’usage envisagé, sans données de fréquence. Voir les justifications en colonne R.</x:v>
      </x:c>
      <x:c r="B30" s="41"/>
      <x:c r="C30" s="41"/>
      <x:c r="D30" s="41"/>
    </x:row>
    <x:row r="31" ht="22" customHeight="1">
      <x:c r="A31" s="41"/>
      <x:c r="B31" s="41"/>
      <x:c r="C31" s="41"/>
      <x:c r="D31" s="41"/>
    </x:row>
    <x:row r="32" ht="22" customHeight="1">
      <x:c r="A32" s="41"/>
      <x:c r="B32" s="41"/>
      <x:c r="C32" s="41"/>
      <x:c r="D32" s="41"/>
    </x:row>
  </x:sheetData>
  <x:mergeCells>
    <x:mergeCell ref="A30:D32"/>
  </x:mergeCells>
  <x:conditionalFormatting sqref="B26:D28">
    <x:cfRule type="expression" dxfId="0" priority="1">
      <x:formula>ISNUMBER(SEARCH("Élevé",B26))</x:formula>
    </x:cfRule>
    <x:cfRule type="expression" dxfId="1" priority="2">
      <x:formula>ISNUMBER(SEARCH("Moyen",B26))</x:formula>
    </x:cfRule>
    <x:cfRule type="expression" dxfId="2" priority="3">
      <x:formula>ISNUMBER(SEARCH("Faible",B26))</x:formula>
    </x:cfRule>
  </x:conditionalFormatting>
  <x:pageMargins left="0.7" right="0.7" top="0.75" bottom="0.75" header="0.3" footer="0.3"/>
</x:worksheet>
</file>

<file path=xl/worksheets/sheet3.xml><?xml version="1.0" encoding="utf-8"?>
<x:worksheet xmlns:x="http://schemas.openxmlformats.org/spreadsheetml/2006/main">
  <x:sheetViews>
    <x:sheetView workbookViewId="0">
      <x:pane xSplit="3" ySplit="8" topLeftCell="D9" activePane="bottomRight" state="frozen"/>
    </x:sheetView>
  </x:sheetViews>
  <x:sheetFormatPr baseColWidth="8" defaultRowHeight="15"/>
  <x:cols>
    <x:col min="1" max="1" width="5" customWidth="1"/>
    <x:col min="2" max="2" width="15" customWidth="1"/>
    <x:col min="3" max="3" width="28" customWidth="1"/>
    <x:col min="4" max="4" width="38" customWidth="1"/>
    <x:col min="5" max="5" width="30" customWidth="1"/>
    <x:col min="6" max="6" width="30" customWidth="1"/>
    <x:col min="7" max="7" width="10" customWidth="1"/>
    <x:col min="8" max="8" width="11" customWidth="1"/>
    <x:col min="9" max="9" width="10" customWidth="1"/>
    <x:col min="10" max="10" width="20" customWidth="1"/>
    <x:col min="11" max="11" width="38" customWidth="1"/>
    <x:col min="12" max="12" width="34" customWidth="1"/>
    <x:col min="13" max="13" width="32" customWidth="1"/>
    <x:col min="14" max="14" width="10" customWidth="1"/>
    <x:col min="15" max="15" width="11" customWidth="1"/>
    <x:col min="16" max="16" width="10" customWidth="1"/>
    <x:col min="17" max="17" width="20" customWidth="1"/>
    <x:col min="18" max="18" width="46" customWidth="1"/>
  </x:cols>
  <x:sheetData>
    <x:row r="1">
      <x:c r="A1" s="6" t="inlineStr">
        <x:is>
          <x:t xml:space="preserve">Analyse de risques de votre projet (ISO 14971 simplifiée)</x:t>
        </x:is>
      </x:c>
    </x:row>
    <x:row r="2">
      <x:c r="A2" s="9" t="inlineStr">
        <x:is>
          <x:t xml:space="preserve">Équipe (numéro)</x:t>
        </x:is>
      </x:c>
      <x:c r="C2" s="14" t="str">
        <x:v>eq02 — Équipe 2</x:v>
      </x:c>
    </x:row>
    <x:row r="3">
      <x:c r="A3" s="9" t="inlineStr">
        <x:is>
          <x:t xml:space="preserve">Cas d'usage</x:t>
        </x:is>
      </x:c>
      <x:c r="C3" s="14" t="str">
        <x:v>G — Souris ergonomique P4 — batterie unique 1 500 mAh</x:v>
      </x:c>
    </x:row>
    <x:row r="4" ht="40" customHeight="1">
      <x:c r="A4" s="9" t="inlineStr">
        <x:is>
          <x:t xml:space="preserve">Finalité en une phrase</x:t>
        </x:is>
      </x:c>
      <x:c r="C4" s="14" t="str">
        <x:v>Analyse les gestes de la main et du poignet pour fournir au professionnel de santé des recommandations personnalisées de prise en charge des troubles musculosquelettiques.</x:v>
      </x:c>
    </x:row>
    <x:row r="5" ht="28" customHeight="1">
      <x:c r="A5" s="30" t="str">
        <x:v>16/10/2026 — Cotations pédagogiques : résiduels CIBLES après mesures proposées et essais. Prototype non validé. Voir « Suivi et sources ».</x:v>
      </x:c>
      <x:c r="B5" s="30"/>
      <x:c r="C5" s="30"/>
      <x:c r="D5" s="30"/>
      <x:c r="E5" s="30"/>
      <x:c r="F5" s="30"/>
      <x:c r="G5" s="30"/>
      <x:c r="H5" s="30"/>
      <x:c r="I5" s="30"/>
      <x:c r="J5" s="30"/>
      <x:c r="K5" s="30"/>
      <x:c r="L5" s="30"/>
      <x:c r="M5" s="30"/>
      <x:c r="N5" s="30"/>
      <x:c r="O5" s="30"/>
      <x:c r="P5" s="30"/>
      <x:c r="Q5" s="30"/>
      <x:c r="R5" s="30"/>
    </x:row>
    <x:row r="7">
      <x:c r="A7" s="15" t="inlineStr">
        <x:is>
          <x:t xml:space="preserve">1. LA CHAÎNE DU RISQUE (dominos)</x:t>
        </x:is>
      </x:c>
      <x:c r="G7" s="16" t="inlineStr">
        <x:is>
          <x:t xml:space="preserve">2. COTATION AVANT MESURES</x:t>
        </x:is>
      </x:c>
      <x:c r="K7" s="17" t="inlineStr">
        <x:is>
          <x:t xml:space="preserve">3. MESURES, DANS L'ORDRE IMPOSÉ</x:t>
        </x:is>
      </x:c>
      <x:c r="N7" s="16" t="str">
        <x:v>4. RÉSIDUEL CIBLE — À VÉRIFIER</x:v>
      </x:c>
      <x:c r="R7" s="18" t="inlineStr">
        <x:is>
          <x:t xml:space="preserve">5. JUSTIFIER</x:t>
        </x:is>
      </x:c>
    </x:row>
    <x:row r="8" ht="48" customHeight="1">
      <x:c r="A8" s="12" t="inlineStr">
        <x:is>
          <x:t xml:space="preserve">N°</x:t>
        </x:is>
      </x:c>
      <x:c r="B8" s="12" t="inlineStr">
        <x:is>
          <x:t xml:space="preserve">Type de danger</x:t>
        </x:is>
      </x:c>
      <x:c r="C8" s="12" t="inlineStr">
        <x:is>
          <x:t xml:space="preserve">Danger</x:t>
        </x:is>
      </x:c>
      <x:c r="D8" s="12" t="inlineStr">
        <x:is>
          <x:t xml:space="preserve">Séquence d'événements</x:t>
        </x:is>
      </x:c>
      <x:c r="E8" s="12" t="inlineStr">
        <x:is>
          <x:t xml:space="preserve">Situation dangereuse</x:t>
        </x:is>
      </x:c>
      <x:c r="F8" s="12" t="inlineStr">
        <x:is>
          <x:t xml:space="preserve">Dommage</x:t>
        </x:is>
      </x:c>
      <x:c r="G8" s="12" t="inlineStr">
        <x:is>
          <x:t xml:space="preserve">Gravité (1-3)</x:t>
        </x:is>
      </x:c>
      <x:c r="H8" s="12" t="inlineStr">
        <x:is>
          <x:t xml:space="preserve">Probabilité (1-3)</x:t>
        </x:is>
      </x:c>
      <x:c r="I8" s="12" t="inlineStr">
        <x:is>
          <x:t xml:space="preserve">Risque = G × P</x:t>
        </x:is>
      </x:c>
      <x:c r="J8" s="12" t="inlineStr">
        <x:is>
          <x:t xml:space="preserve">Niveau</x:t>
        </x:is>
      </x:c>
      <x:c r="K8" s="12" t="inlineStr">
        <x:is>
          <x:t xml:space="preserve">Mesure 1 — sécurité par la conception</x:t>
        </x:is>
      </x:c>
      <x:c r="L8" s="12" t="inlineStr">
        <x:is>
          <x:t xml:space="preserve">Mesure 2 — protection (alarme, garde-fou)</x:t>
        </x:is>
      </x:c>
      <x:c r="M8" s="12" t="inlineStr">
        <x:is>
          <x:t xml:space="preserve">Mesure 3 — information (notice, formation)</x:t>
        </x:is>
      </x:c>
      <x:c r="N8" s="12" t="inlineStr">
        <x:is>
          <x:t xml:space="preserve">Gravité après</x:t>
        </x:is>
      </x:c>
      <x:c r="O8" s="12" t="inlineStr">
        <x:is>
          <x:t xml:space="preserve">Probabilité après</x:t>
        </x:is>
      </x:c>
      <x:c r="P8" s="12" t="inlineStr">
        <x:is>
          <x:t xml:space="preserve">Risque résiduel</x:t>
        </x:is>
      </x:c>
      <x:c r="Q8" s="12" t="inlineStr">
        <x:is>
          <x:t xml:space="preserve">Niveau résiduel</x:t>
        </x:is>
      </x:c>
      <x:c r="R8" s="12" t="inlineStr">
        <x:is>
          <x:t xml:space="preserve">Lien module 2, bénéfice / risque, commentaire</x:t>
        </x:is>
      </x:c>
    </x:row>
    <x:row r="9" ht="140" customHeight="1">
      <x:c r="A9" s="34" t="n">
        <x:v>1</x:v>
      </x:c>
      <x:c r="B9" s="31" t="str">
        <x:v>Technique</x:v>
      </x:c>
      <x:c r="C9" s="31" t="str">
        <x:v>Perte d'alimentation ou de liaison : suivi interrompu</x:v>
      </x:c>
      <x:c r="D9" s="31" t="str">
        <x:v>Batterie unique épuisée ou liaison BLE perdue → acquisition arrêtée → anciennes données prises pour un suivi continu</x:v>
      </x:c>
      <x:c r="E9" s="31" t="str">
        <x:v>Le professionnel évalue les gestes à partir d'un enregistrement incomplet sans voir la coupure.</x:v>
      </x:c>
      <x:c r="F9" s="31" t="str">
        <x:v>Conseil inadapté ; douleurs de la main prolongées nécessitant une consultation.</x:v>
      </x:c>
      <x:c r="G9" s="32" t="n">
        <x:v>2</x:v>
      </x:c>
      <x:c r="H9" s="32" t="n">
        <x:v>2</x:v>
      </x:c>
      <x:c r="I9" s="33" t="n">
        <x:f>IF(OR(G9="",H9=""),"",G9*H9)</x:f>
        <x:v>4</x:v>
      </x:c>
      <x:c r="J9" s="33" t="str">
        <x:f>IF(I9="","",IF(I9&gt;='Échelles'!$C$15,"Élevé : inacceptable",IF(I9&gt;='Échelles'!$C$14,"Moyen : à réduire","Faible : acceptable")))</x:f>
        <x:v>Moyen : à réduire</x:v>
      </x:c>
      <x:c r="K9" s="31" t="str">
        <x:v>Horodater chaque mesure, invalider les données anciennes et mesurer l'autonomie réelle avec souris, capteurs et voyants ; dimensionner une marge.</x:v>
      </x:c>
      <x:c r="L9" s="31" t="str">
        <x:v>Afficher « mesure indisponible » et la durée de coupure ; ajouter une surveillance de batterie avec seuil vérifié, distincte des LED de charge.</x:v>
      </x:c>
      <x:c r="M9" s="31" t="str">
        <x:v>Expliquer la recharge selon l'autonomie mesurée et la reprise d'acquisition ; ne pas interpréter une période sans données.</x:v>
      </x:c>
      <x:c r="N9" s="32" t="n">
        <x:v>2</x:v>
      </x:c>
      <x:c r="O9" s="32" t="n">
        <x:v>1</x:v>
      </x:c>
      <x:c r="P9" s="33" t="n">
        <x:f>IF(OR(N9="",O9=""),"",N9*O9)</x:f>
        <x:v>2</x:v>
      </x:c>
      <x:c r="Q9" s="33" t="str">
        <x:f>IF(P9="","",IF(P9&gt;='Échelles'!$C$15,"Élevé : inacceptable",IF(P9&gt;='Échelles'!$C$14,"Moyen : à réduire","Faible : acceptable")))</x:f>
        <x:v>Faible : acceptable</x:v>
      </x:c>
      <x:c r="R9" s="31" t="str">
        <x:v>G2 : douleurs avec soins ; P2 : interruption plausible sur une session prolongée, sans fréquence connue. Cible P1 si les coupures sont détectées et l'interprétation bloquée. Bénéfice attendu : suivi exploitable des périodes réellement enregistrées. M2 : autonomie et fraîcheur. Vérifier T1 ; autonomie réelle inconnue [S2,S4].</x:v>
      </x:c>
    </x:row>
    <x:row r="10" ht="140" customHeight="1">
      <x:c r="A10" s="34" t="n">
        <x:v>2</x:v>
      </x:c>
      <x:c r="B10" s="35" t="str">
        <x:v>Technique</x:v>
      </x:c>
      <x:c r="C10" s="35" t="str">
        <x:v>Énergie de la cellule Li-ion : échauffement ou incendie</x:v>
      </x:c>
      <x:c r="D10" s="35" t="str">
        <x:v>F15 nue sans protection qualifiée, fil pincé ou charge inadaptée → court-circuit/surcharge → échauffement dans la coque</x:v>
      </x:c>
      <x:c r="E10" s="35" t="str">
        <x:v>La main reste sur une coque chaude ou l'utilisateur est exposé à un départ de feu.</x:v>
      </x:c>
      <x:c r="F10" s="35" t="str">
        <x:v>Brûlure grave de la main pouvant laisser des séquelles.</x:v>
      </x:c>
      <x:c r="G10" s="36" t="n">
        <x:v>3</x:v>
      </x:c>
      <x:c r="H10" s="36" t="n">
        <x:v>2</x:v>
      </x:c>
      <x:c r="I10" s="34" t="n">
        <x:f>IF(OR(G10="",H10=""),"",G10*H10)</x:f>
        <x:v>6</x:v>
      </x:c>
      <x:c r="J10" s="34" t="str">
        <x:f>IF(I10="","",IF(I10&gt;='Échelles'!$C$15,"Élevé : inacceptable",IF(I10&gt;='Échelles'!$C$14,"Moyen : à réduire","Faible : acceptable")))</x:f>
        <x:v>Élevé : inacceptable</x:v>
      </x:c>
      <x:c r="K10" s="35" t="str">
        <x:v>Choisir un pack 1S protégé et traçable ; vérifier le courant de charge autorisé, isoler et immobiliser le pack sans compression ni fil pincé.</x:v>
      </x:c>
      <x:c r="L10" s="35" t="str">
        <x:v>Qualifier la protection du pack et F1 près de la cellule ; ajouter un contrôle thermique adapté avec coupure, puis vérifier les défauts au banc.</x:v>
      </x:c>
      <x:c r="M10" s="35" t="str">
        <x:v>Ne pas charger un pack abîmé, ne pas modifier les protections ; arrêter l'utilisation si chauffe anormale et faire contrôler le montage.</x:v>
      </x:c>
      <x:c r="N10" s="36" t="n">
        <x:v>3</x:v>
      </x:c>
      <x:c r="O10" s="36" t="n">
        <x:v>1</x:v>
      </x:c>
      <x:c r="P10" s="34" t="n">
        <x:f>IF(OR(N10="",O10=""),"",N10*O10)</x:f>
        <x:v>3</x:v>
      </x:c>
      <x:c r="Q10" s="34" t="str">
        <x:f>IF(P10="","",IF(P10&gt;='Échelles'!$C$15,"Élevé : inacceptable",IF(P10&gt;='Échelles'!$C$14,"Moyen : à réduire","Faible : acceptable")))</x:f>
        <x:v>Moyen : à réduire</x:v>
      </x:c>
      <x:c r="R10" s="35" t="str">
        <x:v>G3 : séquelles possibles ; P2 conservatrice tant que le pack et son montage restent non qualifiés. Cible 3×1=3, moyen : aucun bénéfice clinique démontré ne permet une acceptation réelle aujourd'hui. Bénéfice espéré du suivi des TMS à prouver ; protections et thermique à vérifier T2. S'il reste trop risqué, revoir l'alimentation [S2,S3].</x:v>
      </x:c>
    </x:row>
    <x:row r="11" ht="140" customHeight="1">
      <x:c r="A11" s="34" t="n">
        <x:v>3</x:v>
      </x:c>
      <x:c r="B11" s="35" t="str">
        <x:v>Technique</x:v>
      </x:c>
      <x:c r="C11" s="35" t="str">
        <x:v>Alimentations USB mises en parallèle ou tension incorrecte</x:v>
      </x:c>
      <x:c r="D11" s="35" t="str">
        <x:v>USB de programmation branché avec le 5 V externe, JP2 fermé ou erreur de rail → retour de courant / composant en défaut → échauffement</x:v>
      </x:c>
      <x:c r="E11" s="35" t="str">
        <x:v>L'utilisateur touche la coque ou les contacts GSR alors qu'un défaut électrique est présent.</x:v>
      </x:c>
      <x:c r="F11" s="35" t="str">
        <x:v>Brûlure grave au contact d'une partie surchauffée ; séquelles possibles.</x:v>
      </x:c>
      <x:c r="G11" s="36" t="n">
        <x:v>3</x:v>
      </x:c>
      <x:c r="H11" s="36" t="n">
        <x:v>2</x:v>
      </x:c>
      <x:c r="I11" s="34" t="n">
        <x:f>IF(OR(G11="",H11=""),"",G11*H11)</x:f>
        <x:v>6</x:v>
      </x:c>
      <x:c r="J11" s="34" t="str">
        <x:f>IF(I11="","",IF(I11&gt;='Échelles'!$C$15,"Élevé : inacceptable",IF(I11&gt;='Échelles'!$C$14,"Moyen : à réduire","Faible : acceptable")))</x:f>
        <x:v>Élevé : inacceptable</x:v>
      </x:c>
      <x:c r="K11" s="35" t="str">
        <x:v>Empêcher matériellement les sources simultanées ; détromper 5 V/1,5 V et la polarité ; rendre le port de service interne. Prévoir un verrouillage de l'accès aux contacts pendant la charge.</x:v>
      </x:c>
      <x:c r="L11" s="35" t="str">
        <x:v>Contrôler rails, isolement et retours de courant ; limiter le courant au premier démarrage. Vérifier le verrouillage et l'arrêt en défaut.</x:v>
      </x:c>
      <x:c r="M11" s="35" t="str">
        <x:v>Avant programmation : ouvrir JP2 et retirer le câble de charge. Essais de contact sur batterie seule, tous les câbles USB retirés.</x:v>
      </x:c>
      <x:c r="N11" s="36" t="n">
        <x:v>3</x:v>
      </x:c>
      <x:c r="O11" s="36" t="n">
        <x:v>1</x:v>
      </x:c>
      <x:c r="P11" s="34" t="n">
        <x:f>IF(OR(N11="",O11=""),"",N11*O11)</x:f>
        <x:v>3</x:v>
      </x:c>
      <x:c r="Q11" s="34" t="str">
        <x:f>IF(P11="","",IF(P11&gt;='Échelles'!$C$15,"Élevé : inacceptable",IF(P11&gt;='Échelles'!$C$14,"Moyen : à réduire","Faible : acceptable")))</x:f>
        <x:v>Moyen : à réduire</x:v>
      </x:c>
      <x:c r="R11" s="35" t="str">
        <x:v>G3 : brûlure avec séquelles ; P2 : erreur de branchement plausible sur un banc à plusieurs ports. Cible 3×1=3, moyen, uniquement après détrompage et essais T3. Bénéfice attendu : batterie unique rechargeable ; il ne justifie pas une mise en service actuelle. Revoir le circuit si le défaut reste accessible [S3,S7,S8].</x:v>
      </x:c>
    </x:row>
    <x:row r="12" ht="140" customHeight="1">
      <x:c r="A12" s="34" t="n">
        <x:v>4</x:v>
      </x:c>
      <x:c r="B12" s="35" t="str">
        <x:v>Technique</x:v>
      </x:c>
      <x:c r="C12" s="35" t="str">
        <x:v>Mesures fausses prises pour des mesures valides</x:v>
      </x:c>
      <x:c r="D12" s="35" t="str">
        <x:v>Mouvement, mauvais contact PPG/GSR, température de coque ou capteur défaillant → signal biaisé → donnée conservée comme fiable</x:v>
      </x:c>
      <x:c r="E12" s="35" t="str">
        <x:v>Le professionnel reçoit un indicateur erroné et adapte la prise en charge sur cette base.</x:v>
      </x:c>
      <x:c r="F12" s="35" t="str">
        <x:v>Exercices inadaptés ou retard d'ajustement ; douleur nécessitant des soins.</x:v>
      </x:c>
      <x:c r="G12" s="36" t="n">
        <x:v>2</x:v>
      </x:c>
      <x:c r="H12" s="36" t="n">
        <x:v>2</x:v>
      </x:c>
      <x:c r="I12" s="34" t="n">
        <x:f>IF(OR(G12="",H12=""),"",G12*H12)</x:f>
        <x:v>4</x:v>
      </x:c>
      <x:c r="J12" s="34" t="str">
        <x:f>IF(I12="","",IF(I12&gt;='Échelles'!$C$15,"Élevé : inacceptable",IF(I12&gt;='Échelles'!$C$14,"Moyen : à réduire","Faible : acceptable")))</x:f>
        <x:v>Moyen : à réduire</x:v>
      </x:c>
      <x:c r="K12" s="35" t="str">
        <x:v>Valider chaque capteur dans la position réelle ; filtrer les données invalides/anciennes ; ne pas transformer PPG, GSR ou température de contact en diagnostic de TMS.</x:v>
      </x:c>
      <x:c r="L12" s="35" t="str">
        <x:v>Afficher la qualité et « mesure indisponible » ; bloquer les recommandations quand les signaux requis sont insuffisants ou incohérents.</x:v>
      </x:c>
      <x:c r="M12" s="35" t="str">
        <x:v>Expliquer le placement de la main et les limites des capteurs ; aucune température corporelle centrale ni mesure directe d'angle du poignet.</x:v>
      </x:c>
      <x:c r="N12" s="36" t="n">
        <x:v>2</x:v>
      </x:c>
      <x:c r="O12" s="36" t="n">
        <x:v>1</x:v>
      </x:c>
      <x:c r="P12" s="34" t="n">
        <x:f>IF(OR(N12="",O12=""),"",N12*O12)</x:f>
        <x:v>2</x:v>
      </x:c>
      <x:c r="Q12" s="34" t="str">
        <x:f>IF(P12="","",IF(P12&gt;='Échelles'!$C$15,"Élevé : inacceptable",IF(P12&gt;='Échelles'!$C$14,"Moyen : à réduire","Faible : acceptable")))</x:f>
        <x:v>Faible : acceptable</x:v>
      </x:c>
      <x:c r="R12" s="35" t="str">
        <x:v>G2 : douleur avec soins ; P2 : artefacts plausibles et conséquence clinique possible dans l'usage envisagé. Cible P1 si le rejet empêche leur exploitation. Bénéfice : exploiter seulement les séquences fiables. M2 : qualité et indisponibilité ; comparer à une référence, T4 [S2,S4].</x:v>
      </x:c>
    </x:row>
    <x:row r="13" ht="140" customHeight="1">
      <x:c r="A13" s="34" t="n">
        <x:v>5</x:v>
      </x:c>
      <x:c r="B13" s="35" t="str">
        <x:v>Technique</x:v>
      </x:c>
      <x:c r="C13" s="35" t="str">
        <x:v>Interprétation médicale erronée par le futur logiciel</x:v>
      </x:c>
      <x:c r="D13" s="35" t="str">
        <x:v>Mouvements de la souris assimilés à l'angle du poignet ou modèle non validé → recommandation erronée → recommandation suivie</x:v>
      </x:c>
      <x:c r="E13" s="35" t="str">
        <x:v>Une personne avec douleur de la main reçoit un exercice ou un conseil qui ne convient pas à son trouble.</x:v>
      </x:c>
      <x:c r="F13" s="35" t="str">
        <x:v>Aggravation douloureuse réversible nécessitant une nouvelle prise en charge.</x:v>
      </x:c>
      <x:c r="G13" s="36" t="n">
        <x:v>2</x:v>
      </x:c>
      <x:c r="H13" s="36" t="n">
        <x:v>2</x:v>
      </x:c>
      <x:c r="I13" s="34" t="n">
        <x:f>IF(OR(G13="",H13=""),"",G13*H13)</x:f>
        <x:v>4</x:v>
      </x:c>
      <x:c r="J13" s="34" t="str">
        <x:f>IF(I13="","",IF(I13&gt;='Échelles'!$C$15,"Élevé : inacceptable",IF(I13&gt;='Échelles'!$C$14,"Moyen : à réduire","Faible : acceptable")))</x:f>
        <x:v>Moyen : à réduire</x:v>
      </x:c>
      <x:c r="K13" s="35" t="str">
        <x:v>Définir les TMS et décisions visés ; valider les recommandations sur la population cible ; exclure les décisions autonomes et les cas hors domaine validé.</x:v>
      </x:c>
      <x:c r="L13" s="35" t="str">
        <x:v>Exiger une revue professionnelle et bloquer les sorties hors domaine ; rendre visibles incertitude, données utilisées et version du logiciel.</x:v>
      </x:c>
      <x:c r="M13" s="35" t="str">
        <x:v>Préciser que le prototype actuel n'émet pas de recommandation clinique validée ; ne pas modifier un traitement sur ses seuls résultats.</x:v>
      </x:c>
      <x:c r="N13" s="36" t="n">
        <x:v>2</x:v>
      </x:c>
      <x:c r="O13" s="36" t="n">
        <x:v>1</x:v>
      </x:c>
      <x:c r="P13" s="34" t="n">
        <x:f>IF(OR(N13="",O13=""),"",N13*O13)</x:f>
        <x:v>2</x:v>
      </x:c>
      <x:c r="Q13" s="34" t="str">
        <x:f>IF(P13="","",IF(P13&gt;='Échelles'!$C$15,"Élevé : inacceptable",IF(P13&gt;='Échelles'!$C$14,"Moyen : à réduire","Faible : acceptable")))</x:f>
        <x:v>Faible : acceptable</x:v>
      </x:c>
      <x:c r="R13" s="35" t="str">
        <x:v>G2 retenue pour un usage limité à des conseils non critiques et des dommages réversibles ; P2 faute de validation. Cible P1 après évaluation clinique T5. Si une erreur peut causer séquelle ou chirurgie, refaire cotation et classification M3-1. Fonction absente de R3 [S1,S4].</x:v>
      </x:c>
    </x:row>
    <x:row r="14" ht="140" customHeight="1">
      <x:c r="A14" s="34" t="n">
        <x:v>6</x:v>
      </x:c>
      <x:c r="B14" s="35" t="str">
        <x:v>Utilisation</x:v>
      </x:c>
      <x:c r="C14" s="35" t="str">
        <x:v>Posture contrainte par une coque mal adaptée</x:v>
      </x:c>
      <x:c r="D14" s="35" t="str">
        <x:v>Main ou posture incompatible avec la P4, masse déplacée par le pack → crispation répétée pendant le travail → sollicitation prolongée</x:v>
      </x:c>
      <x:c r="E14" s="35" t="str">
        <x:v>L'utilisateur maintient une position inconfortable malgré la promesse ergonomique.</x:v>
      </x:c>
      <x:c r="F14" s="35" t="str">
        <x:v>Douleur persistante du poignet ou de l'avant-bras nécessitant des soins.</x:v>
      </x:c>
      <x:c r="G14" s="36" t="n">
        <x:v>2</x:v>
      </x:c>
      <x:c r="H14" s="36" t="n">
        <x:v>3</x:v>
      </x:c>
      <x:c r="I14" s="34" t="n">
        <x:f>IF(OR(G14="",H14=""),"",G14*H14)</x:f>
        <x:v>6</x:v>
      </x:c>
      <x:c r="J14" s="34" t="str">
        <x:f>IF(I14="","",IF(I14&gt;='Échelles'!$C$15,"Élevé : inacceptable",IF(I14&gt;='Échelles'!$C$14,"Moyen : à réduire","Faible : acceptable")))</x:f>
        <x:v>Élevé : inacceptable</x:v>
      </x:c>
      <x:c r="K14" s="35" t="str">
        <x:v>Vérifier la prise en main droite de taille moyenne, les appuis et le centre de masse avec le pack final ; corriger coque et position des contacts selon les essais.</x:v>
      </x:c>
      <x:c r="L14" s="35" t="str">
        <x:v>Contrôler le confort en séances progressives ; arrêter au premier inconfort. Ne pas autoriser un usage prolongé avant validation de la prise en main.</x:v>
      </x:c>
      <x:c r="M14" s="35" t="str">
        <x:v>Régler le poste, faire des pauses et changer de souris si douleur ; ne pas forcer la prise pour toucher les capteurs.</x:v>
      </x:c>
      <x:c r="N14" s="36" t="n">
        <x:v>2</x:v>
      </x:c>
      <x:c r="O14" s="36" t="n">
        <x:v>1</x:v>
      </x:c>
      <x:c r="P14" s="34" t="n">
        <x:f>IF(OR(N14="",O14=""),"",N14*O14)</x:f>
        <x:v>2</x:v>
      </x:c>
      <x:c r="Q14" s="34" t="str">
        <x:f>IF(P14="","",IF(P14&gt;='Échelles'!$C$15,"Élevé : inacceptable",IF(P14&gt;='Échelles'!$C$14,"Moyen : à réduire","Faible : acceptable")))</x:f>
        <x:v>Faible : acceptable</x:v>
      </x:c>
      <x:c r="R14" s="35" t="str">
        <x:v>G2 : douleur avec soins ; P3 hypothèse prudente pour un utilisateur mal adapté exposé chaque jour, pas une fréquence observée. Cible P1 après essais T6 et adaptation. Bénéfice attendu : suivi sans ajouter de contrainte ; ergonomie non prouvée par le seul angle 65° [S2,S5].</x:v>
      </x:c>
    </x:row>
    <x:row r="15" ht="140" customHeight="1">
      <x:c r="A15" s="34" t="n">
        <x:v>7</x:v>
      </x:c>
      <x:c r="B15" s="35" t="str">
        <x:v>Utilisation</x:v>
      </x:c>
      <x:c r="C15" s="35" t="str">
        <x:v>Contact cutané irritant ou souillé</x:v>
      </x:c>
      <x:c r="D15" s="35" t="str">
        <x:v>Contacts inox M4/coque mal finis, sueur ou nettoyage inadapté → frottements et exposition prolongée → irritation de la peau</x:v>
      </x:c>
      <x:c r="E15" s="35" t="str">
        <x:v>La main reste en contact avec une surface irritante ou contaminée.</x:v>
      </x:c>
      <x:c r="F15" s="35" t="str">
        <x:v>Dermatite ou lésion superficielle nécessitant un soin local.</x:v>
      </x:c>
      <x:c r="G15" s="36" t="n">
        <x:v>2</x:v>
      </x:c>
      <x:c r="H15" s="36" t="n">
        <x:v>2</x:v>
      </x:c>
      <x:c r="I15" s="34" t="n">
        <x:f>IF(OR(G15="",H15=""),"",G15*H15)</x:f>
        <x:v>4</x:v>
      </x:c>
      <x:c r="J15" s="34" t="str">
        <x:f>IF(I15="","",IF(I15&gt;='Échelles'!$C$15,"Élevé : inacceptable",IF(I15&gt;='Échelles'!$C$14,"Moyen : à réduire","Faible : acceptable")))</x:f>
        <x:v>Moyen : à réduire</x:v>
      </x:c>
      <x:c r="K15" s="35" t="str">
        <x:v>Choisir des matériaux adaptés au contact cutané, arrondir les contacts et supprimer bavures/recoins ; rendre les surfaces nettoyables sans entrée de liquide.</x:v>
      </x:c>
      <x:c r="L15" s="35" t="str">
        <x:v>Inspecter les surfaces et vérifier nettoyage, état de la peau et compatibilité des matériaux ; retirer une pièce dégradée ou irritante.</x:v>
      </x:c>
      <x:c r="M15" s="35" t="str">
        <x:v>Nettoyer selon une méthode validée ; ne pas utiliser sur peau lésée ; cesser l'utilisation en cas de rougeur persistante.</x:v>
      </x:c>
      <x:c r="N15" s="36" t="n">
        <x:v>2</x:v>
      </x:c>
      <x:c r="O15" s="36" t="n">
        <x:v>1</x:v>
      </x:c>
      <x:c r="P15" s="34" t="n">
        <x:f>IF(OR(N15="",O15=""),"",N15*O15)</x:f>
        <x:v>2</x:v>
      </x:c>
      <x:c r="Q15" s="34" t="str">
        <x:f>IF(P15="","",IF(P15&gt;='Échelles'!$C$15,"Élevé : inacceptable",IF(P15&gt;='Échelles'!$C$14,"Moyen : à réduire","Faible : acceptable")))</x:f>
        <x:v>Faible : acceptable</x:v>
      </x:c>
      <x:c r="R15" s="35" t="str">
        <x:v>G2 : atteinte cutanée avec soin ; P2 : exposition prolongée plausible sans matériaux ni nettoyage qualifiés. Cible P1 après T7. Les électrodes sont intégrées à la coque, sans attaches aux doigts. Le mot inox ne prouve pas la tolérance cutanée [S2,S5].</x:v>
      </x:c>
    </x:row>
    <x:row r="16" ht="140" customHeight="1">
      <x:c r="A16" s="34" t="n">
        <x:v>8</x:v>
      </x:c>
      <x:c r="B16" s="35" t="str">
        <x:v>Utilisation</x:v>
      </x:c>
      <x:c r="C16" s="35" t="str">
        <x:v>Confiance excessive dans un indicateur rassurant</x:v>
      </x:c>
      <x:c r="D16" s="35" t="str">
        <x:v>Un indicateur paraît normal ou aucune recommandation n'apparaît → utilisateur croit ne pas avoir de problème → consultation différée malgré la douleur</x:v>
      </x:c>
      <x:c r="E16" s="35" t="str">
        <x:v>La personne continue les gestes douloureux et remplace l'avis professionnel par l'affichage de la souris.</x:v>
      </x:c>
      <x:c r="F16" s="35" t="str">
        <x:v>Prolongation ou aggravation réversible des douleurs avec soins retardés.</x:v>
      </x:c>
      <x:c r="G16" s="36" t="n">
        <x:v>2</x:v>
      </x:c>
      <x:c r="H16" s="36" t="n">
        <x:v>2</x:v>
      </x:c>
      <x:c r="I16" s="34" t="n">
        <x:f>IF(OR(G16="",H16=""),"",G16*H16)</x:f>
        <x:v>4</x:v>
      </x:c>
      <x:c r="J16" s="34" t="str">
        <x:f>IF(I16="","",IF(I16&gt;='Échelles'!$C$15,"Élevé : inacceptable",IF(I16&gt;='Échelles'!$C$14,"Moyen : à réduire","Faible : acceptable")))</x:f>
        <x:v>Moyen : à réduire</x:v>
      </x:c>
      <x:c r="K16" s="35" t="str">
        <x:v>Séparer mesures, qualité et interprétation ; ne pas afficher « absence de TMS » ni un état vert assimilable à un diagnostic ; prévoir un parcours avec professionnel.</x:v>
      </x:c>
      <x:c r="L16" s="35" t="str">
        <x:v>Afficher les limites au moment du résultat et un état distinct pour données absentes ; vérifier la compréhension par des essais utilisateurs.</x:v>
      </x:c>
      <x:c r="M16" s="35" t="str">
        <x:v>Une mesure normale n'exclut pas un trouble ; une douleur persistante doit être discutée avec un professionnel, sans attendre la souris.</x:v>
      </x:c>
      <x:c r="N16" s="36" t="n">
        <x:v>2</x:v>
      </x:c>
      <x:c r="O16" s="36" t="n">
        <x:v>1</x:v>
      </x:c>
      <x:c r="P16" s="34" t="n">
        <x:f>IF(OR(N16="",O16=""),"",N16*O16)</x:f>
        <x:v>2</x:v>
      </x:c>
      <x:c r="Q16" s="34" t="str">
        <x:f>IF(P16="","",IF(P16&gt;='Échelles'!$C$15,"Élevé : inacceptable",IF(P16&gt;='Échelles'!$C$14,"Moyen : à réduire","Faible : acceptable")))</x:f>
        <x:v>Faible : acceptable</x:v>
      </x:c>
      <x:c r="R16" s="35" t="str">
        <x:v>G2 sous hypothèse de suivi non critique et dommage réversible ; P2 : confusion d'usage plausible. Cible P1 si les utilisateurs distinguent absence de données, mesure et avis médical, T8. Risque créé aussi par le filtrage du risque 4 : supprimer une valeur ne doit jamais rassurer [S1,S4].</x:v>
      </x:c>
    </x:row>
    <x:row r="17" ht="140" customHeight="1">
      <x:c r="A17" s="34" t="n">
        <x:v>9</x:v>
      </x:c>
      <x:c r="B17" s="35" t="str">
        <x:v>Cybersécurité</x:v>
      </x:c>
      <x:c r="C17" s="35" t="str">
        <x:v>Divulgation des données de santé</x:v>
      </x:c>
      <x:c r="D17" s="35" t="str">
        <x:v>Accès au PC/CSV non maîtrisé ou transmission non protégée → consultation de données identifiantes par un tiers → divulgation</x:v>
      </x:c>
      <x:c r="E17" s="35" t="str">
        <x:v>Des informations liées aux gestes et à la santé de la personne sont connues d'une personne non autorisée.</x:v>
      </x:c>
      <x:c r="F17" s="35" t="str">
        <x:v>Détresse psychologique pouvant nécessiter un accompagnement ; atteinte à la confidentialité.</x:v>
      </x:c>
      <x:c r="G17" s="36" t="n">
        <x:v>2</x:v>
      </x:c>
      <x:c r="H17" s="36" t="n">
        <x:v>2</x:v>
      </x:c>
      <x:c r="I17" s="34" t="n">
        <x:f>IF(OR(G17="",H17=""),"",G17*H17)</x:f>
        <x:v>4</x:v>
      </x:c>
      <x:c r="J17" s="34" t="str">
        <x:f>IF(I17="","",IF(I17&gt;='Échelles'!$C$15,"Élevé : inacceptable",IF(I17&gt;='Échelles'!$C$14,"Moyen : à réduire","Faible : acceptable")))</x:f>
        <x:v>Moyen : à réduire</x:v>
      </x:c>
      <x:c r="K17" s="35" t="str">
        <x:v>Minimiser et pseudonymiser les données ; limiter stockage et durée ; protéger les fichiers et authentifier/chiffrer la liaison BLE selon la pile retenue.</x:v>
      </x:c>
      <x:c r="L17" s="35" t="str">
        <x:v>Comptes distincts et droits minimaux ; si MQTT sort du PC, TLS avec validation serveur et certificat par objet, sans accès anonyme ; contrôler les accès.</x:v>
      </x:c>
      <x:c r="M17" s="35" t="str">
        <x:v>Expliquer les destinataires et la suppression ; ne pas partager les CSV réels ou secrets sur Git ; verrouiller la session du PC.</x:v>
      </x:c>
      <x:c r="N17" s="36" t="n">
        <x:v>2</x:v>
      </x:c>
      <x:c r="O17" s="36" t="n">
        <x:v>1</x:v>
      </x:c>
      <x:c r="P17" s="34" t="n">
        <x:f>IF(OR(N17="",O17=""),"",N17*O17)</x:f>
        <x:v>2</x:v>
      </x:c>
      <x:c r="Q17" s="34" t="str">
        <x:f>IF(P17="","",IF(P17&gt;='Échelles'!$C$15,"Élevé : inacceptable",IF(P17&gt;='Échelles'!$C$14,"Moyen : à réduire","Faible : acceptable")))</x:f>
        <x:v>Faible : acceptable</x:v>
      </x:c>
      <x:c r="R17" s="35" t="str">
        <x:v>G2 concerne une détresse nécessitant accompagnement, pas la seule perte d'un fichier. P2 faute de protections démontrées ; cible P1 après T9. MQTT actuel optionnel sur localhost:1883, sans TLS configuré ; ne pas prétendre qu'un serveur distant sécurisé existe. M2 : chiffrement et comptes [S4].</x:v>
      </x:c>
    </x:row>
    <x:row r="18" ht="140" customHeight="1">
      <x:c r="A18" s="34" t="n">
        <x:v>10</x:v>
      </x:c>
      <x:c r="B18" s="35" t="str">
        <x:v>Cybersécurité</x:v>
      </x:c>
      <x:c r="C18" s="35" t="str">
        <x:v>Usurpation de la souris ou substitution de mesures</x:v>
      </x:c>
      <x:c r="D18" s="35" t="str">
        <x:v>Un appareil reprend le nom BLE SourisSante-R3 ou des données sont rejouées → passerelle accepte la mauvaise source → résultat attribué à la personne</x:v>
      </x:c>
      <x:c r="E18" s="35" t="str">
        <x:v>Le professionnel décide à partir de données fabriquées ou appartenant à une autre session.</x:v>
      </x:c>
      <x:c r="F18" s="35" t="str">
        <x:v>Prise en charge inadaptée avec aggravation douloureuse réversible.</x:v>
      </x:c>
      <x:c r="G18" s="36" t="n">
        <x:v>2</x:v>
      </x:c>
      <x:c r="H18" s="36" t="n">
        <x:v>2</x:v>
      </x:c>
      <x:c r="I18" s="34" t="n">
        <x:f>IF(OR(G18="",H18=""),"",G18*H18)</x:f>
        <x:v>4</x:v>
      </x:c>
      <x:c r="J18" s="34" t="str">
        <x:f>IF(I18="","",IF(I18&gt;='Échelles'!$C$15,"Élevé : inacceptable",IF(I18&gt;='Échelles'!$C$14,"Moyen : à réduire","Faible : acceptable")))</x:f>
        <x:v>Moyen : à réduire</x:v>
      </x:c>
      <x:c r="K18" s="35" t="str">
        <x:v>Associer une identité authentifiée à l'objet et à la session ; ne pas se fier au nom BLE ; vérifier intégrité, séquence et fraîcheur des données.</x:v>
      </x:c>
      <x:c r="L18" s="35" t="str">
        <x:v>Refuser une source inconnue ou un rejeu ; avertir lors d'un changement d'objet ; journaliser les anomalies et bloquer l'interprétation.</x:v>
      </x:c>
      <x:c r="M18" s="35" t="str">
        <x:v>Associer la souris dans un environnement maîtrisé et vérifier l'identité/session avant le suivi ; signaler les changements inattendus.</x:v>
      </x:c>
      <x:c r="N18" s="36" t="n">
        <x:v>2</x:v>
      </x:c>
      <x:c r="O18" s="36" t="n">
        <x:v>1</x:v>
      </x:c>
      <x:c r="P18" s="34" t="n">
        <x:f>IF(OR(N18="",O18=""),"",N18*O18)</x:f>
        <x:v>2</x:v>
      </x:c>
      <x:c r="Q18" s="34" t="str">
        <x:f>IF(P18="","",IF(P18&gt;='Échelles'!$C$15,"Élevé : inacceptable",IF(P18&gt;='Échelles'!$C$14,"Moyen : à réduire","Faible : acceptable")))</x:f>
        <x:v>Faible : acceptable</x:v>
      </x:c>
      <x:c r="R18" s="35" t="str">
        <x:v>G2 dans l'usage non critique étudié ; P2 : source sélectionnée par nom, sans preuve d'authentification. Cible P1 après essais d'usurpation/rejeu T10. Bénéfice : observations attribuables au bon utilisateur ; M2 : identité par objet, droits et fraîcheur [S4].</x:v>
      </x:c>
    </x:row>
    <x:row r="19">
      <x:c r="A19" s="11" t="str">
        <x:v>10 risques adaptés au cas G ; les mesures proposées ne sont pas déclarées réalisées. Réponses au sujet dans le PDF joint.</x:v>
      </x:c>
    </x:row>
  </x:sheetData>
  <x:mergeCells>
    <x:mergeCell ref="A4:B4"/>
    <x:mergeCell ref="A2:B2"/>
    <x:mergeCell ref="C3:F3"/>
    <x:mergeCell ref="C4:F4"/>
    <x:mergeCell ref="R7:R7"/>
    <x:mergeCell ref="N7:Q7"/>
    <x:mergeCell ref="G7:J7"/>
    <x:mergeCell ref="C2:F2"/>
    <x:mergeCell ref="A3:B3"/>
    <x:mergeCell ref="K7:M7"/>
    <x:mergeCell ref="A7:F7"/>
    <x:mergeCell ref="A5:R5"/>
  </x:mergeCells>
  <x:conditionalFormatting sqref="I9:J18">
    <x:cfRule type="expression" dxfId="0" priority="1">
      <x:formula>LEFT($J9,5)="Élevé"</x:formula>
    </x:cfRule>
    <x:cfRule type="expression" dxfId="1" priority="2">
      <x:formula>LEFT($J9,5)="Moyen"</x:formula>
    </x:cfRule>
    <x:cfRule type="expression" dxfId="2" priority="3">
      <x:formula>LEFT($J9,6)="Faible"</x:formula>
    </x:cfRule>
  </x:conditionalFormatting>
  <x:conditionalFormatting sqref="P9:Q18">
    <x:cfRule type="expression" dxfId="0" priority="4">
      <x:formula>LEFT($Q9,5)="Élevé"</x:formula>
    </x:cfRule>
    <x:cfRule type="expression" dxfId="1" priority="5">
      <x:formula>LEFT($Q9,5)="Moyen"</x:formula>
    </x:cfRule>
    <x:cfRule type="expression" dxfId="2" priority="6">
      <x:formula>LEFT($Q9,6)="Faible"</x:formula>
    </x:cfRule>
  </x:conditionalFormatting>
  <x:dataValidations count="3">
    <x:dataValidation type="list" allowBlank="1" showDropDown="0" showInputMessage="0" showErrorMessage="0" sqref="C3">
      <x:formula1>"A (chute),B (insuffisance cardiaque),C (BPCO),D (AVC),E (escarres),F (pilulier),G — Souris ergonomique P4 — batterie unique 1 500 mAh"</x:formula1>
    </x:dataValidation>
    <x:dataValidation type="list" allowBlank="1" showDropDown="0" showInputMessage="0" showErrorMessage="0" errorTitle="Valeur non prévue" error="Choisissez une valeur de la liste." promptTitle="Choix" prompt="Technique, Utilisation ou Cybersécurité" sqref="B9 B10 B11 B12 B13 B14 B15 B16 B17 B18">
      <x:formula1>"Technique,Utilisation,Cybersécurité"</x:formula1>
    </x:dataValidation>
    <x:dataValidation type="list" allowBlank="1" showDropDown="0" showInputMessage="0" showErrorMessage="0" errorTitle="Valeur non prévue" error="Choisissez une valeur de la liste." promptTitle="Choix" prompt="1, 2 ou 3 (voir l'onglet Échelles)" sqref="G9 G10 G11 G12 G13 G14 G15 G16 G17 G18 H9 H10 H11 H12 H13 H14 H15 H16 H17 H18 N9 N10 N11 N12 N13 N14 N15 N16 N17 N18 O9 O10 O11 O12 O13 O14 O15 O16 O17 O18">
      <x:formula1>"1,2,3"</x:formula1>
    </x:dataValidation>
  </x:dataValidations>
  <x:pageMargins left="0.7" right="0.7" top="0.75" bottom="0.75" header="0.3" footer="0.3"/>
</x:worksheet>
</file>

<file path=xl/worksheets/sheet4.xml><?xml version="1.0" encoding="utf-8"?>
<x:worksheet xmlns:x="http://schemas.openxmlformats.org/spreadsheetml/2006/main">
  <x:sheetFormatPr baseColWidth="8" defaultRowHeight="15"/>
  <x:cols>
    <x:col min="1" max="1" width="26" customWidth="1"/>
    <x:col min="2" max="2" width="15" customWidth="1"/>
    <x:col min="3" max="3" width="15" customWidth="1"/>
    <x:col min="4" max="4" width="15" customWidth="1"/>
    <x:col min="5" max="5" width="15" customWidth="1"/>
    <x:col min="6" max="6" width="15" customWidth="1"/>
    <x:col min="7" max="7" width="15" customWidth="1"/>
    <x:col min="8" max="8" width="15" customWidth="1"/>
  </x:cols>
  <x:sheetData>
    <x:row r="1">
      <x:c r="A1" s="6" t="inlineStr">
        <x:is>
          <x:t xml:space="preserve">Synthèse : où sont vos risques ? (calculée automatiquement)</x:t>
        </x:is>
      </x:c>
    </x:row>
    <x:row r="2" ht="32" customHeight="1">
      <x:c r="A2" s="30" t="str">
        <x:v>Équipe 2 — Cas G — Les résultats APRÈS sont des cibles conditionnelles ; aucun essai de sécurité sur prototype assemblé.</x:v>
      </x:c>
      <x:c r="B2" s="30"/>
      <x:c r="C2" s="30"/>
      <x:c r="D2" s="30"/>
      <x:c r="E2" s="30"/>
      <x:c r="F2" s="30"/>
      <x:c r="G2" s="30"/>
      <x:c r="H2" s="30"/>
    </x:row>
    <x:row r="3">
      <x:c r="A3" s="9" t="inlineStr">
        <x:is>
          <x:t xml:space="preserve">AVANT les mesures</x:t>
        </x:is>
      </x:c>
      <x:c r="E3" s="9" t="str">
        <x:v>APRÈS mesures prévues (cible)</x:v>
      </x:c>
    </x:row>
    <x:row r="4" ht="34" customHeight="1">
      <x:c r="A4" s="37" t="inlineStr">
        <x:is>
          <x:t xml:space="preserve">Gravité ↓ / Probabilité →</x:t>
        </x:is>
      </x:c>
      <x:c r="B4" s="38" t="inlineStr">
        <x:is>
          <x:t xml:space="preserve">1 Rare</x:t>
        </x:is>
      </x:c>
      <x:c r="C4" s="38" t="inlineStr">
        <x:is>
          <x:t xml:space="preserve">2 Possible</x:t>
        </x:is>
      </x:c>
      <x:c r="D4" s="38" t="inlineStr">
        <x:is>
          <x:t xml:space="preserve">3 Fréquente</x:t>
        </x:is>
      </x:c>
      <x:c r="E4" s="37" t="inlineStr">
        <x:is>
          <x:t xml:space="preserve">Gravité ↓ / Probabilité →</x:t>
        </x:is>
      </x:c>
      <x:c r="F4" s="38" t="inlineStr">
        <x:is>
          <x:t xml:space="preserve">1 Rare</x:t>
        </x:is>
      </x:c>
      <x:c r="G4" s="38" t="inlineStr">
        <x:is>
          <x:t xml:space="preserve">2 Possible</x:t>
        </x:is>
      </x:c>
      <x:c r="H4" s="38" t="inlineStr">
        <x:is>
          <x:t xml:space="preserve">3 Fréquente</x:t>
        </x:is>
      </x:c>
    </x:row>
    <x:row r="5" ht="28" customHeight="1">
      <x:c r="A5" s="7" t="inlineStr">
        <x:is>
          <x:t xml:space="preserve">3 Grave</x:t>
        </x:is>
      </x:c>
      <x:c r="B5" s="23" t="n">
        <x:f>COUNTIFS('Analyse de risques'!$G$9:$G$18,3,'Analyse de risques'!$H$9:$H$18,1)</x:f>
        <x:v>0</x:v>
      </x:c>
      <x:c r="C5" s="24" t="n">
        <x:f>COUNTIFS('Analyse de risques'!$G$9:$G$18,3,'Analyse de risques'!$H$9:$H$18,2)</x:f>
        <x:v>2</x:v>
      </x:c>
      <x:c r="D5" s="24" t="n">
        <x:f>COUNTIFS('Analyse de risques'!$G$9:$G$18,3,'Analyse de risques'!$H$9:$H$18,3)</x:f>
        <x:v>0</x:v>
      </x:c>
      <x:c r="E5" s="7" t="inlineStr">
        <x:is>
          <x:t xml:space="preserve">3 Grave</x:t>
        </x:is>
      </x:c>
      <x:c r="F5" s="23" t="n">
        <x:f>COUNTIFS('Analyse de risques'!$N$9:$N$18,3,'Analyse de risques'!$O$9:$O$18,1)</x:f>
        <x:v>2</x:v>
      </x:c>
      <x:c r="G5" s="24" t="n">
        <x:f>COUNTIFS('Analyse de risques'!$N$9:$N$18,3,'Analyse de risques'!$O$9:$O$18,2)</x:f>
        <x:v>0</x:v>
      </x:c>
      <x:c r="H5" s="24" t="n">
        <x:f>COUNTIFS('Analyse de risques'!$N$9:$N$18,3,'Analyse de risques'!$O$9:$O$18,3)</x:f>
        <x:v>0</x:v>
      </x:c>
    </x:row>
    <x:row r="6" ht="28" customHeight="1">
      <x:c r="A6" s="7" t="inlineStr">
        <x:is>
          <x:t xml:space="preserve">2 Modérée</x:t>
        </x:is>
      </x:c>
      <x:c r="B6" s="25" t="n">
        <x:f>COUNTIFS('Analyse de risques'!$G$9:$G$18,2,'Analyse de risques'!$H$9:$H$18,1)</x:f>
        <x:v>0</x:v>
      </x:c>
      <x:c r="C6" s="23" t="n">
        <x:f>COUNTIFS('Analyse de risques'!$G$9:$G$18,2,'Analyse de risques'!$H$9:$H$18,2)</x:f>
        <x:v>7</x:v>
      </x:c>
      <x:c r="D6" s="24" t="n">
        <x:f>COUNTIFS('Analyse de risques'!$G$9:$G$18,2,'Analyse de risques'!$H$9:$H$18,3)</x:f>
        <x:v>1</x:v>
      </x:c>
      <x:c r="E6" s="7" t="inlineStr">
        <x:is>
          <x:t xml:space="preserve">2 Modérée</x:t>
        </x:is>
      </x:c>
      <x:c r="F6" s="25" t="n">
        <x:f>COUNTIFS('Analyse de risques'!$N$9:$N$18,2,'Analyse de risques'!$O$9:$O$18,1)</x:f>
        <x:v>8</x:v>
      </x:c>
      <x:c r="G6" s="23" t="n">
        <x:f>COUNTIFS('Analyse de risques'!$N$9:$N$18,2,'Analyse de risques'!$O$9:$O$18,2)</x:f>
        <x:v>0</x:v>
      </x:c>
      <x:c r="H6" s="24" t="n">
        <x:f>COUNTIFS('Analyse de risques'!$N$9:$N$18,2,'Analyse de risques'!$O$9:$O$18,3)</x:f>
        <x:v>0</x:v>
      </x:c>
    </x:row>
    <x:row r="7" ht="28" customHeight="1">
      <x:c r="A7" s="7" t="inlineStr">
        <x:is>
          <x:t xml:space="preserve">1 Légère</x:t>
        </x:is>
      </x:c>
      <x:c r="B7" s="25" t="n">
        <x:f>COUNTIFS('Analyse de risques'!$G$9:$G$18,1,'Analyse de risques'!$H$9:$H$18,1)</x:f>
        <x:v>0</x:v>
      </x:c>
      <x:c r="C7" s="25" t="n">
        <x:f>COUNTIFS('Analyse de risques'!$G$9:$G$18,1,'Analyse de risques'!$H$9:$H$18,2)</x:f>
        <x:v>0</x:v>
      </x:c>
      <x:c r="D7" s="23" t="n">
        <x:f>COUNTIFS('Analyse de risques'!$G$9:$G$18,1,'Analyse de risques'!$H$9:$H$18,3)</x:f>
        <x:v>0</x:v>
      </x:c>
      <x:c r="E7" s="7" t="inlineStr">
        <x:is>
          <x:t xml:space="preserve">1 Légère</x:t>
        </x:is>
      </x:c>
      <x:c r="F7" s="25" t="n">
        <x:f>COUNTIFS('Analyse de risques'!$N$9:$N$18,1,'Analyse de risques'!$O$9:$O$18,1)</x:f>
        <x:v>0</x:v>
      </x:c>
      <x:c r="G7" s="25" t="n">
        <x:f>COUNTIFS('Analyse de risques'!$N$9:$N$18,1,'Analyse de risques'!$O$9:$O$18,2)</x:f>
        <x:v>0</x:v>
      </x:c>
      <x:c r="H7" s="23" t="n">
        <x:f>COUNTIFS('Analyse de risques'!$N$9:$N$18,1,'Analyse de risques'!$O$9:$O$18,3)</x:f>
        <x:v>0</x:v>
      </x:c>
    </x:row>
    <x:row r="8">
      <x:c r="A8" s="26" t="inlineStr">
        <x:is>
          <x:t xml:space="preserve">(nombre de risques dans chaque case)</x:t>
        </x:is>
      </x:c>
      <x:c r="E8" s="26" t="inlineStr">
        <x:is>
          <x:t xml:space="preserve">(nombre de risques dans chaque case)</x:t>
        </x:is>
      </x:c>
    </x:row>
    <x:row r="11">
      <x:c r="A11" s="9" t="inlineStr">
        <x:is>
          <x:t xml:space="preserve">Contrôles</x:t>
        </x:is>
      </x:c>
    </x:row>
    <x:row r="12">
      <x:c r="A12" s="10" t="inlineStr">
        <x:is>
          <x:t xml:space="preserve">Dangers listés</x:t>
        </x:is>
      </x:c>
      <x:c r="B12" s="13" t="n">
        <x:f>COUNTA('Analyse de risques'!$C$9:$C$18)</x:f>
        <x:v>10</x:v>
      </x:c>
      <x:c r="C12" s="10" t="str">
        <x:f>IF(B12&gt;=5,"OK : au moins 5 dangers","Visez au moins 5 dangers")</x:f>
        <x:v>OK : au moins 5 dangers</x:v>
      </x:c>
      <x:c r="D12" s="27" t="n"/>
      <x:c r="E12" s="27" t="n"/>
      <x:c r="F12" s="27" t="n"/>
      <x:c r="G12" s="27" t="n"/>
      <x:c r="H12" s="28" t="n"/>
    </x:row>
    <x:row r="13">
      <x:c r="A13" s="10" t="inlineStr">
        <x:is>
          <x:t xml:space="preserve">dont techniques</x:t>
        </x:is>
      </x:c>
      <x:c r="B13" s="13" t="n">
        <x:f>COUNTIF('Analyse de risques'!$B$9:$B$18,"Technique")</x:f>
        <x:v>5</x:v>
      </x:c>
      <x:c r="C13" s="10" t="str">
        <x:f>IF(B13&gt;=1,"OK","Ajoutez un danger technique")</x:f>
        <x:v>OK</x:v>
      </x:c>
      <x:c r="D13" s="27" t="n"/>
      <x:c r="E13" s="27" t="n"/>
      <x:c r="F13" s="27" t="n"/>
      <x:c r="G13" s="27" t="n"/>
      <x:c r="H13" s="28" t="n"/>
    </x:row>
    <x:row r="14">
      <x:c r="A14" s="10" t="inlineStr">
        <x:is>
          <x:t xml:space="preserve">dont d'utilisation</x:t>
        </x:is>
      </x:c>
      <x:c r="B14" s="13" t="n">
        <x:f>COUNTIF('Analyse de risques'!$B$9:$B$18,"Utilisation")</x:f>
        <x:v>3</x:v>
      </x:c>
      <x:c r="C14" s="10" t="str">
        <x:f>IF(B14&gt;=1,"OK","Ajoutez un danger d'utilisation")</x:f>
        <x:v>OK</x:v>
      </x:c>
      <x:c r="D14" s="27" t="n"/>
      <x:c r="E14" s="27" t="n"/>
      <x:c r="F14" s="27" t="n"/>
      <x:c r="G14" s="27" t="n"/>
      <x:c r="H14" s="28" t="n"/>
    </x:row>
    <x:row r="15">
      <x:c r="A15" s="10" t="inlineStr">
        <x:is>
          <x:t xml:space="preserve">dont de cybersécurité</x:t>
        </x:is>
      </x:c>
      <x:c r="B15" s="13" t="n">
        <x:f>COUNTIF('Analyse de risques'!$B$9:$B$18,"Cybersécurité")</x:f>
        <x:v>2</x:v>
      </x:c>
      <x:c r="C15" s="10" t="str">
        <x:f>IF(B15&gt;=1,"OK","Ajoutez un danger de cybersécurité")</x:f>
        <x:v>OK</x:v>
      </x:c>
      <x:c r="D15" s="27" t="n"/>
      <x:c r="E15" s="27" t="n"/>
      <x:c r="F15" s="27" t="n"/>
      <x:c r="G15" s="27" t="n"/>
      <x:c r="H15" s="28" t="n"/>
    </x:row>
    <x:row r="16">
      <x:c r="A16" s="10" t="str">
        <x:v>Risques élevés résiduels cibles</x:v>
      </x:c>
      <x:c r="B16" s="13" t="n">
        <x:f>COUNTIF('Analyse de risques'!$Q$9:$Q$18,"Élevé*")</x:f>
        <x:v>0</x:v>
      </x:c>
      <x:c r="C16" s="10" t="str">
        <x:f>IF(B16=0,"OK : aucun risque inacceptable restant","Il reste un risque inacceptable : ajoutez une mesure")</x:f>
        <x:v>OK : aucun risque inacceptable restant</x:v>
      </x:c>
      <x:c r="D16" s="27" t="n"/>
      <x:c r="E16" s="27" t="n"/>
      <x:c r="F16" s="27" t="n"/>
      <x:c r="G16" s="27" t="n"/>
      <x:c r="H16" s="28" t="n"/>
    </x:row>
    <x:row r="18" ht="27" customHeight="1">
      <x:c r="A18" s="40" t="str">
        <x:v>Les contrôles OK vérifient le contenu du TP, pas la réalisation des mesures. Les risques 2 et 3 restent moyens ; leur acceptation réelle est différée jusqu’aux essais et à la justification du bénéfice.</x:v>
      </x:c>
      <x:c r="B18" s="40"/>
      <x:c r="C18" s="40"/>
      <x:c r="D18" s="40"/>
      <x:c r="E18" s="40"/>
      <x:c r="F18" s="40"/>
      <x:c r="G18" s="40"/>
      <x:c r="H18" s="40"/>
    </x:row>
    <x:row r="19" ht="27" customHeight="1">
      <x:c r="A19" s="40"/>
      <x:c r="B19" s="40"/>
      <x:c r="C19" s="40"/>
      <x:c r="D19" s="40"/>
      <x:c r="E19" s="40"/>
      <x:c r="F19" s="40"/>
      <x:c r="G19" s="40"/>
      <x:c r="H19" s="40"/>
    </x:row>
  </x:sheetData>
  <x:mergeCells>
    <x:mergeCell ref="C16:H16"/>
    <x:mergeCell ref="C14:H14"/>
    <x:mergeCell ref="C13:H13"/>
    <x:mergeCell ref="C12:H12"/>
    <x:mergeCell ref="C15:H15"/>
    <x:mergeCell ref="A2:H2"/>
    <x:mergeCell ref="A18:H19"/>
  </x:mergeCells>
  <x:pageMargins left="0.7" right="0.7" top="0.75" bottom="0.75" header="0.3" footer="0.3"/>
</x:worksheet>
</file>

<file path=xl/worksheets/sheet5.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2" max="2" width="60" hidden="0" customWidth="1"/>
    <x:col min="3" max="3" width="60" hidden="0" customWidth="1"/>
    <x:col min="4" max="4" width="60" hidden="0" customWidth="1"/>
    <x:col min="1" max="1" width="10" hidden="0" customWidth="1"/>
  </x:cols>
  <x:sheetData>
    <x:row r="1">
      <x:c r="A1" s="43" t="str">
        <x:v>Équipe 2 — Mesures à vérifier et sources</x:v>
      </x:c>
      <x:c r="B1" s="43"/>
      <x:c r="C1" s="43"/>
      <x:c r="D1" s="43"/>
    </x:row>
    <x:row r="3" ht="30" customHeight="1">
      <x:c r="A3" s="48" t="str">
        <x:v>Risque</x:v>
      </x:c>
      <x:c r="B3" s="48" t="str">
        <x:v>État actuel vérifié dans la branche</x:v>
      </x:c>
      <x:c r="C3" s="48" t="str">
        <x:v>Vérification à réaliser</x:v>
      </x:c>
      <x:c r="D3" s="48" t="str">
        <x:v>Statut</x:v>
      </x:c>
    </x:row>
    <x:row r="4" ht="130" customHeight="1">
      <x:c r="A4" s="46" t="n">
        <x:v>1</x:v>
      </x:c>
      <x:c r="B4" s="46" t="str">
        <x:v>R3 rejette des données optiques anciennes ; veille partielle programmée. Aucun indicateur de batterie faible ni autonomie mesurée. Le contrôle de bout en bout reste à démontrer.</x:v>
      </x:c>
      <x:c r="C4" s="46" t="str">
        <x:v>T1 — Décharger au banc et couper/reprendre le BLE. Vérifier que la coupure est visible, qu'aucune ancienne valeur n'est déclarée actuelle et qu'une session incomplète n'alimente pas une recommandation ; mesurer l'autonomie sur plusieurs cycles.</x:v>
      </x:c>
      <x:c r="D4" s="46" t="str">
        <x:v>À réaliser — aucune validation matérielle ou clinique fournie</x:v>
      </x:c>
    </x:row>
    <x:row r="5" ht="130" customHeight="1">
      <x:c r="A5" s="46" t="n">
        <x:v>2</x:v>
      </x:c>
      <x:c r="B5" s="46" t="str">
        <x:v>Une seule F15 1 500 mAh est étudiée. Protection et pack final non choisis ; F1 1 A provisoire. Le module 6106 est prévu au banc hors coque. Aucun essai thermique assemblé.</x:v>
      </x:c>
      <x:c r="C5" s="46" t="str">
        <x:v>T2 — Qualifier pack, chargeur et fusible avec leurs fiches ; mesurer charge, courant d'appel et températures dans l'enveloppe finale. Contrôler les protections sur moyens adaptés, sans provoquer de défaut dangereux sur la main d'un utilisateur.</x:v>
      </x:c>
      <x:c r="D5" s="46" t="str">
        <x:v>À réaliser — aucune validation matérielle ou clinique fournie</x:v>
      </x:c>
    </x:row>
    <x:row r="6" ht="130" customHeight="1">
      <x:c r="A6" s="46" t="n">
        <x:v>3</x:v>
      </x:c>
      <x:c r="B6" s="46" t="str">
        <x:v>Le schéma prévoit JP2 et le rail MH002 à 1,5 V ; BAT de la XIAO reste libre. Les consignes existent, mais le détrompage, le verrouillage et les essais ne sont pas réalisés.</x:v>
      </x:c>
      <x:c r="C6" s="46" t="str">
        <x:v>T3 — Sur alimentation limitée, vérifier polarités, rails 5 V/3,3 V/1,5 V, séquence de mise sous tension, isolement du port de service et absence de retour de courant ; contrôler l'inaccessibilité des contacts en charge.</x:v>
      </x:c>
      <x:c r="D6" s="46" t="str">
        <x:v>À réaliser — aucune validation matérielle ou clinique fournie</x:v>
      </x:c>
    </x:row>
    <x:row r="7" ht="130" customHeight="1">
      <x:c r="A7" s="46" t="n">
        <x:v>4</x:v>
      </x:c>
      <x:c r="B7" s="46" t="str">
        <x:v>Contrôles de qualité PPG et fraîcheur présents dans R3 ; placement, GSR, température et performance sur personnes non validés.</x:v>
      </x:c>
      <x:c r="C7" s="46" t="str">
        <x:v>T4 — Essais de mouvement, perte de contact, capteur absent et données figées ; comparer les mesures acceptées à une référence adaptée. Vérifier qu'aucune valeur invalide n'alimente un résultat médical.</x:v>
      </x:c>
      <x:c r="D7" s="46" t="str">
        <x:v>À réaliser — aucune validation matérielle ou clinique fournie</x:v>
      </x:c>
    </x:row>
    <x:row r="8" ht="130" customHeight="1">
      <x:c r="A8" s="46" t="n">
        <x:v>5</x:v>
      </x:c>
      <x:c r="B8" s="46" t="str">
        <x:v>Le dossier M3-1 décrit la finalité envisagée. R3 acquiert et présente des signaux ; aucun algorithme médical ou modèle d'IA validé n'est fourni.</x:v>
      </x:c>
      <x:c r="C8" s="46" t="str">
        <x:v>T5 — Définir avec un professionnel les décisions et cas d'exclusion ; confronter les recommandations à une référence clinique, y compris profils hors domaine. Ne pas attribuer de performance avant ces essais.</x:v>
      </x:c>
      <x:c r="D8" s="46" t="str">
        <x:v>À réaliser — aucune validation matérielle ou clinique fournie</x:v>
      </x:c>
    </x:row>
    <x:row r="9" ht="130" customHeight="1">
      <x:c r="A9" s="46" t="n">
        <x:v>6</x:v>
      </x:c>
      <x:c r="B9" s="46" t="str">
        <x:v>Base ergonomique P4 à 65° ; intégration 1 500 mAh et maintien du pack non finalisés. Pas d'essai de confort de l'ensemble assemblé.</x:v>
      </x:c>
      <x:c r="C9" s="46" t="str">
        <x:v>T6 — Après sécurité électrique, essais progressifs avec plusieurs utilisateurs de la cible, comparaison à leur souris habituelle ; relever douleur, appuis, accès aux boutons et maintien du contact sans crispation.</x:v>
      </x:c>
      <x:c r="D9" s="46" t="str">
        <x:v>À réaliser — aucune validation matérielle ou clinique fournie</x:v>
      </x:c>
    </x:row>
    <x:row r="10" ht="130" customHeight="1">
      <x:c r="A10" s="46" t="n">
        <x:v>7</x:v>
      </x:c>
      <x:c r="B10" s="46" t="str">
        <x:v>Deux contacts M4 et une coque imprimée sont prévus ; leur grade exact, finition et protocole de nettoyage restent à valider.</x:v>
      </x:c>
      <x:c r="C10" s="46" t="str">
        <x:v>T7 — Identifier les matériaux, contrôler absence d'arêtes, tenue et état de surface après nettoyages répétés ; évaluer la compatibilité avec la peau selon durée et nature du contact.</x:v>
      </x:c>
      <x:c r="D10" s="46" t="str">
        <x:v>À réaliser — aucune validation matérielle ou clinique fournie</x:v>
      </x:c>
    </x:row>
    <x:row r="11" ht="130" customHeight="1">
      <x:c r="A11" s="46" t="n">
        <x:v>8</x:v>
      </x:c>
      <x:c r="B11" s="46" t="str">
        <x:v>Le README R3 exclut le diagnostic de stress ou complication cardiovasculaire. La compréhension de l'interface et le futur parcours clinique ne sont pas testés.</x:v>
      </x:c>
      <x:c r="C11" s="46" t="str">
        <x:v>T8 — Présenter à des utilisateurs des données normales, absentes et invalides ; vérifier qu'ils n'en déduisent pas l'absence de trouble et qu'ils comprennent le rôle du professionnel.</x:v>
      </x:c>
      <x:c r="D11" s="46" t="str">
        <x:v>À réaliser — aucune validation matérielle ou clinique fournie</x:v>
      </x:c>
    </x:row>
    <x:row r="12" ht="130" customHeight="1">
      <x:c r="A12" s="46" t="n">
        <x:v>9</x:v>
      </x:c>
      <x:c r="B12" s="46" t="str">
        <x:v>R3 écrit des CSV. Option MQTT locale 127.0.0.1:1883 ; pas de TLS configuré dans gateway.py. Appairage authentifié et contrôle des accès non démontrés par ce code.</x:v>
      </x:c>
      <x:c r="C12" s="46" t="str">
        <x:v>T9 — Vérifier droits des fichiers et suppression ; tenter une lecture depuis un client non autorisé. Pour un réseau distant, contrôler certificats, refus d'accès anonyme et absence de transmission en clair.</x:v>
      </x:c>
      <x:c r="D12" s="46" t="str">
        <x:v>À réaliser — aucune validation matérielle ou clinique fournie</x:v>
      </x:c>
    </x:row>
    <x:row r="13" ht="130" customHeight="1">
      <x:c r="A13" s="46" t="n">
        <x:v>10</x:v>
      </x:c>
      <x:c r="B13" s="46" t="str">
        <x:v>gateway.py recherche le nom SourisSante-R3. Les contrôles de schéma et de fraîcheur ne constituent pas une authentification cryptographique.</x:v>
      </x:c>
      <x:c r="C13" s="46" t="str">
        <x:v>T10 — Présenter un second appareil au même nom, une session étrangère et des messages rejoués ; vérifier leur rejet et le maintien de l'association au bon utilisateur.</x:v>
      </x:c>
      <x:c r="D13" s="46" t="str">
        <x:v>À réaliser — aucune validation matérielle ou clinique fournie</x:v>
      </x:c>
    </x:row>
    <x:row r="14">
      <x:c r="A14" s="46"/>
      <x:c r="B14" s="46"/>
      <x:c r="C14" s="46"/>
      <x:c r="D14" s="46"/>
    </x:row>
    <x:row r="15" ht="30" customHeight="1">
      <x:c r="A15" s="48" t="str">
        <x:v>Source</x:v>
      </x:c>
      <x:c r="B15" s="48" t="str">
        <x:v>Document</x:v>
      </x:c>
      <x:c r="C15" s="48" t="str">
        <x:v>Lien / chemin</x:v>
      </x:c>
      <x:c r="D15" s="48" t="str">
        <x:v>Portée</x:v>
      </x:c>
    </x:row>
    <x:row r="16" ht="110" customHeight="1">
      <x:c r="A16" s="46" t="str">
        <x:v>S0</x:v>
      </x:c>
      <x:c r="B16" s="46" t="str">
        <x:v>Sujet et modèle TP M3-2 fournis par l'utilisateur</x:v>
      </x:c>
      <x:c r="C16" s="46" t="str">
        <x:v>supports/TP_M3_2_Analyse_risques_etudiant.pdf</x:v>
      </x:c>
      <x:c r="D16" s="46" t="str">
        <x:v>Sujet : pages 1 à 7 ; modèle Excel original conservé dans supports/. Matrice et seuils pédagogiques inchangés.</x:v>
      </x:c>
    </x:row>
    <x:row r="17" ht="110" customHeight="1">
      <x:c r="A17" s="46" t="str">
        <x:v>S1</x:v>
      </x:c>
      <x:c r="B17" s="46" t="str">
        <x:v>TP M3-1 : finalité du cas G et limites de classification</x:v>
      </x:c>
      <x:c r="C17" s="46" t="str">
        <x:v>https://github.com/lebretyves/TP4-IoT-Autonomie/blob/b7625705741e973cda2934f0b328ea03531148f6/cas_g_choisi/classification/TP_M3_1_corrige_cas_G.pdf</x:v>
      </x:c>
      <x:c r="D17" s="46" t="str">
        <x:v>Finalité envisagée : recommandations TMS au professionnel ; fonction à développer. G2 pour les erreurs cliniques est une hypothèse de périmètre, à réviser si séquelles possibles.</x:v>
      </x:c>
    </x:row>
    <x:row r="18" ht="110" customHeight="1">
      <x:c r="A18" s="46" t="str">
        <x:v>S2</x:v>
      </x:c>
      <x:c r="B18" s="46" t="str">
        <x:v>Configuration réelle 1 500 mAh</x:v>
      </x:c>
      <x:c r="C18" s="46" t="str">
        <x:v>https://github.com/lebretyves/TP4-IoT-Autonomie/blob/b7625705741e973cda2934f0b328ea03531148f6/cas_g_choisi/CONFIGURATION_1500.md</x:v>
      </x:c>
      <x:c r="D18" s="46" t="str">
        <x:v>P4, MH002, XIAO Sense, SEN-15219, GSR interne, DS18B20 ; pack et intégration non qualifiés, autonomie inconnue.</x:v>
      </x:c>
    </x:row>
    <x:row r="19" ht="110" customHeight="1">
      <x:c r="A19" s="46" t="str">
        <x:v>S3</x:v>
      </x:c>
      <x:c r="B19" s="46" t="str">
        <x:v>Câblage de banc R3 et alimentation unique</x:v>
      </x:c>
      <x:c r="C19" s="46" t="str">
        <x:v>https://github.com/lebretyves/TP4-IoT-Autonomie/blob/b7625705741e973cda2934f0b328ea03531148f6/variantes/03_batterie_unique_USB_C/CABLAGE_BANC_R3.md</x:v>
      </x:c>
      <x:c r="D19" s="46" t="str">
        <x:v>6106, USB-C 4090, rail 1,5 V TPS7A0215PDBVR, JP2 et programmation, essais cutanés sur batterie seule.</x:v>
      </x:c>
    </x:row>
    <x:row r="20" ht="110" customHeight="1">
      <x:c r="A20" s="46" t="str">
        <x:v>S4</x:v>
      </x:c>
      <x:c r="B20" s="46" t="str">
        <x:v>Logiciel R3, passerelle et contrôles de qualité</x:v>
      </x:c>
      <x:c r="C20" s="46" t="str">
        <x:v>https://github.com/lebretyves/TP4-IoT-Autonomie/tree/b7625705741e973cda2934f0b328ea03531148f6/variantes/04_veille_R3</x:v>
      </x:c>
      <x:c r="D20" s="46" t="str">
        <x:v>README.md ; logiciel/gateway.py lignes 87–128 : CSV, MQTT local, sélection BLE par nom ; quality.py : qualité PPG. Revue du code, sans nouveau test matériel.</x:v>
      </x:c>
    </x:row>
    <x:row r="21" ht="110" customHeight="1">
      <x:c r="A21" s="46" t="str">
        <x:v>S5</x:v>
      </x:c>
      <x:c r="B21" s="46" t="str">
        <x:v>Base mécanique P4</x:v>
      </x:c>
      <x:c r="C21" s="46" t="str">
        <x:v>https://github.com/lebretyves/TP4-IoT-Autonomie/tree/b7625705741e973cda2934f0b328ea03531148f6/variantes/02_souris_ergonomique_P4_R2</x:v>
      </x:c>
      <x:c r="D21" s="46" t="str">
        <x:v>Coque, plans et contacts de référence ; ne constituent pas un assemblage 1 500 mAh validé.</x:v>
      </x:c>
    </x:row>
    <x:row r="22" ht="110" customHeight="1">
      <x:c r="A22" s="46" t="str">
        <x:v>S6</x:v>
      </x:c>
      <x:c r="B22" s="46" t="str">
        <x:v>ISO 14971:2019 — page officielle</x:v>
      </x:c>
      <x:c r="C22" s="46" t="str">
        <x:v>https://www.iso.org/standard/72704.html</x:v>
      </x:c>
      <x:c r="D22" s="46" t="str">
        <x:v>Cadre de gestion des risques ; ne fixe pas les seuils du cours. Page consultée le 16 octobre 2026 ; aucun audit de conformité à la norme réalisé.</x:v>
      </x:c>
    </x:row>
    <x:row r="23" ht="110" customHeight="1">
      <x:c r="A23" s="46" t="str">
        <x:v>S7</x:v>
      </x:c>
      <x:c r="B23" s="46" t="str">
        <x:v>Adafruit 6106 — brochage constructeur</x:v>
      </x:c>
      <x:c r="C23" s="46" t="str">
        <x:v>https://learn.adafruit.com/adafruit-bq25185-usb-dc-solar-charger-with-5v-boost-board/pinouts</x:v>
      </x:c>
      <x:c r="D23" s="46" t="str">
        <x:v>Commande EN, alimentation et charge ; consulté le 16 octobre 2026. Les mesures proposées sont à qualifier dans le montage final.</x:v>
      </x:c>
    </x:row>
    <x:row r="24" ht="110" customHeight="1">
      <x:c r="A24" s="46" t="str">
        <x:v>S8</x:v>
      </x:c>
      <x:c r="B24" s="46" t="str">
        <x:v>Seeed XIAO nRF52840 — alimentation constructeur</x:v>
      </x:c>
      <x:c r="C24" s="46" t="str">
        <x:v>https://wiki.seeedstudio.com/XIAO_BLE/</x:v>
      </x:c>
      <x:c r="D24" s="46" t="str">
        <x:v>Documentation de la carte et alimentation ; consultée le 16 octobre 2026.</x:v>
      </x:c>
    </x:row>
  </x:sheetData>
  <x:mergeCells>
    <x:mergeCell ref="A1:D1"/>
  </x:mergeCells>
  <x:pageMargins left="0.7" right="0.7" top="0.75" bottom="0.75" header="0.3" footer="0.3"/>
</x:worksheet>
</file>