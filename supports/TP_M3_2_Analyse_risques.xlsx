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2" autoFilterDateGrouping="1"/>
  </bookViews>
  <sheets>
    <sheet xmlns:r="http://schemas.openxmlformats.org/officeDocument/2006/relationships" name="Lisez-moi" sheetId="1" state="visible" r:id="rId1"/>
    <sheet xmlns:r="http://schemas.openxmlformats.org/officeDocument/2006/relationships" name="Échelles" sheetId="2" state="visible" r:id="rId2"/>
    <sheet xmlns:r="http://schemas.openxmlformats.org/officeDocument/2006/relationships" name="Analyse de risques" sheetId="3" state="visible" r:id="rId3"/>
    <sheet xmlns:r="http://schemas.openxmlformats.org/officeDocument/2006/relationships" name="Synthèse" sheetId="4" state="visible" r:id="rId4"/>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4"/>
    </font>
    <font>
      <color rgb="00595959"/>
      <sz val="11"/>
    </font>
    <font>
      <b val="1"/>
      <sz val="11"/>
    </font>
    <font>
      <color rgb="000000FF"/>
      <sz val="11"/>
    </font>
    <font>
      <b val="1"/>
      <color rgb="00FFFFFF"/>
      <sz val="11"/>
    </font>
    <font>
      <i val="1"/>
      <color rgb="00595959"/>
    </font>
    <font>
      <i val="1"/>
      <color rgb="000000FF"/>
      <sz val="11"/>
    </font>
    <font>
      <b val="1"/>
      <color rgb="00FFFFFF"/>
    </font>
  </fonts>
  <fills count="10">
    <fill>
      <patternFill/>
    </fill>
    <fill>
      <patternFill patternType="gray125"/>
    </fill>
    <fill>
      <patternFill patternType="solid">
        <fgColor rgb="00DDEBF7"/>
      </patternFill>
    </fill>
    <fill>
      <patternFill patternType="solid">
        <fgColor rgb="001F4E78"/>
      </patternFill>
    </fill>
    <fill>
      <patternFill patternType="solid">
        <fgColor rgb="00D6E4F2"/>
      </patternFill>
    </fill>
    <fill>
      <patternFill patternType="solid">
        <fgColor rgb="00E7E6E6"/>
      </patternFill>
    </fill>
    <fill>
      <patternFill patternType="solid">
        <fgColor rgb="00DCF4EA"/>
      </patternFill>
    </fill>
    <fill>
      <patternFill patternType="solid">
        <fgColor rgb="00F2F2F2"/>
      </patternFill>
    </fill>
    <fill>
      <patternFill patternType="solid">
        <fgColor rgb="00F6B08F"/>
      </patternFill>
    </fill>
    <fill>
      <patternFill patternType="solid">
        <fgColor rgb="00EB6834"/>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2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0" fillId="0" borderId="0" applyAlignment="1" pivotButton="0" quotePrefix="0" xfId="0">
      <alignment vertical="top" wrapText="1"/>
    </xf>
    <xf numFmtId="0" fontId="4" fillId="2" borderId="0" applyAlignment="1" pivotButton="0" quotePrefix="0" xfId="0">
      <alignment vertical="top" wrapText="1"/>
    </xf>
    <xf numFmtId="0" fontId="1" fillId="0" borderId="0" pivotButton="0" quotePrefix="0" xfId="0"/>
    <xf numFmtId="0" fontId="5" fillId="3" borderId="1" pivotButton="0" quotePrefix="0" xfId="0"/>
    <xf numFmtId="0" fontId="0" fillId="0" borderId="1" applyAlignment="1" pivotButton="0" quotePrefix="0" xfId="0">
      <alignment vertical="top" wrapText="1"/>
    </xf>
    <xf numFmtId="0" fontId="3" fillId="0" borderId="0" pivotButton="0" quotePrefix="0" xfId="0"/>
    <xf numFmtId="0" fontId="0" fillId="0" borderId="1" pivotButton="0" quotePrefix="0" xfId="0"/>
    <xf numFmtId="0" fontId="6" fillId="0" borderId="0" pivotButton="0" quotePrefix="0" xfId="0"/>
    <xf numFmtId="0" fontId="5" fillId="3" borderId="1" applyAlignment="1" pivotButton="0" quotePrefix="0" xfId="0">
      <alignment horizontal="center" vertical="center" wrapText="1"/>
    </xf>
    <xf numFmtId="0" fontId="0" fillId="0" borderId="1" applyAlignment="1" pivotButton="0" quotePrefix="0" xfId="0">
      <alignment horizontal="center" vertical="center" wrapText="1"/>
    </xf>
    <xf numFmtId="0" fontId="4" fillId="2" borderId="0" pivotButton="0" quotePrefix="0" xfId="0"/>
    <xf numFmtId="0" fontId="3" fillId="4" borderId="0" applyAlignment="1" pivotButton="0" quotePrefix="0" xfId="0">
      <alignment horizontal="center" vertical="center" wrapText="1"/>
    </xf>
    <xf numFmtId="0" fontId="3" fillId="5" borderId="0" applyAlignment="1" pivotButton="0" quotePrefix="0" xfId="0">
      <alignment horizontal="center" vertical="center" wrapText="1"/>
    </xf>
    <xf numFmtId="0" fontId="3" fillId="6" borderId="0" applyAlignment="1" pivotButton="0" quotePrefix="0" xfId="0">
      <alignment horizontal="center" vertical="center" wrapText="1"/>
    </xf>
    <xf numFmtId="0" fontId="3" fillId="7" borderId="0" applyAlignment="1" pivotButton="0" quotePrefix="0" xfId="0">
      <alignment horizontal="center" vertical="center" wrapText="1"/>
    </xf>
    <xf numFmtId="0" fontId="7" fillId="2" borderId="1" applyAlignment="1" pivotButton="0" quotePrefix="0" xfId="0">
      <alignment vertical="top" wrapText="1"/>
    </xf>
    <xf numFmtId="0" fontId="7" fillId="2" borderId="1" applyAlignment="1" pivotButton="0" quotePrefix="0" xfId="0">
      <alignment horizontal="center" vertical="center" wrapText="1"/>
    </xf>
    <xf numFmtId="0" fontId="4" fillId="2" borderId="1" applyAlignment="1" pivotButton="0" quotePrefix="0" xfId="0">
      <alignment vertical="top" wrapText="1"/>
    </xf>
    <xf numFmtId="0" fontId="4" fillId="2" borderId="1" applyAlignment="1" pivotButton="0" quotePrefix="0" xfId="0">
      <alignment horizontal="center" vertical="center" wrapText="1"/>
    </xf>
    <xf numFmtId="0" fontId="0" fillId="8" borderId="1" applyAlignment="1" pivotButton="0" quotePrefix="0" xfId="0">
      <alignment horizontal="center" vertical="center" wrapText="1"/>
    </xf>
    <xf numFmtId="0" fontId="8" fillId="9" borderId="1" applyAlignment="1" pivotButton="0" quotePrefix="0" xfId="0">
      <alignment horizontal="center" vertical="center" wrapText="1"/>
    </xf>
    <xf numFmtId="0" fontId="0" fillId="6" borderId="1" applyAlignment="1" pivotButton="0" quotePrefix="0" xfId="0">
      <alignment horizontal="center" vertical="center" wrapText="1"/>
    </xf>
    <xf numFmtId="0" fontId="2" fillId="0" borderId="0" pivotButton="0" quotePrefix="0" xfId="0"/>
    <xf numFmtId="0" fontId="0" fillId="0" borderId="4" pivotButton="0" quotePrefix="0" xfId="0"/>
    <xf numFmtId="0" fontId="0" fillId="0" borderId="5" pivotButton="0" quotePrefix="0" xfId="0"/>
  </cellXfs>
  <cellStyles count="1">
    <cellStyle name="Normal" xfId="0" builtinId="0" hidden="0"/>
  </cellStyles>
  <dxfs count="3">
    <dxf>
      <font>
        <b val="1"/>
        <color rgb="00FFFFFF"/>
      </font>
      <fill>
        <patternFill patternType="solid">
          <fgColor rgb="00EB6834"/>
        </patternFill>
      </fill>
    </dxf>
    <dxf>
      <font>
        <b val="1"/>
      </font>
      <fill>
        <patternFill patternType="solid">
          <fgColor rgb="00F6B08F"/>
        </patternFill>
      </fill>
    </dxf>
    <dxf>
      <fill>
        <patternFill patternType="solid">
          <fgColor rgb="00DCF4E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25" customWidth="1" min="1" max="1"/>
  </cols>
  <sheetData>
    <row r="1">
      <c r="A1" s="1" t="inlineStr">
        <is>
          <t>Analyse de risques ISO 14971 simplifiée — TP M3-2</t>
        </is>
      </c>
    </row>
    <row r="2">
      <c r="A2" s="2" t="inlineStr">
        <is>
          <t>Module 3 — vendredi 16 octobre 2026 — MBA Santé, IA &amp; IoT — Epitech — Nicolas LAURIO</t>
        </is>
      </c>
    </row>
    <row r="3">
      <c r="A3" s="3" t="inlineStr">
        <is>
          <t>Exercice d'entraînement. Matrice d'exemple, simplifiée pour le cours : dans un vrai dossier, le fabricant définit lui-même ses échelles et ses seuils.</t>
        </is>
      </c>
    </row>
    <row r="4">
      <c r="A4" s="4" t="inlineStr"/>
    </row>
    <row r="5">
      <c r="A5" s="3" t="inlineStr">
        <is>
          <t>Légende des cellules</t>
        </is>
      </c>
    </row>
    <row r="6">
      <c r="A6" s="5" t="inlineStr">
        <is>
          <t>Police bleue sur fond bleu pâle = à remplir par l'équipe (listes déroulantes : type de danger, gravité, probabilité).</t>
        </is>
      </c>
    </row>
    <row r="7">
      <c r="A7" s="4" t="inlineStr">
        <is>
          <t>Police noire sur fond blanc dans les colonnes « Risque » et « Niveau » = formule : ne pas écraser.</t>
        </is>
      </c>
    </row>
    <row r="8">
      <c r="A8" s="4" t="inlineStr">
        <is>
          <t>Couleur automatique du niveau : vert pâle = faible (acceptable), orange clair = moyen (à réduire), orange foncé = élevé (inacceptable).</t>
        </is>
      </c>
    </row>
    <row r="9">
      <c r="A9" s="4" t="inlineStr"/>
    </row>
    <row r="10">
      <c r="A10" s="3" t="inlineStr">
        <is>
          <t>La chaîne à remplir, de gauche à droite (comme une rangée de dominos)</t>
        </is>
      </c>
    </row>
    <row r="11">
      <c r="A11" s="4" t="inlineStr">
        <is>
          <t>Danger (ce qui peut faire du mal) → séquence d'événements (ce qui s'enchaîne) → situation dangereuse (une personne est exposée) → dommage (l'atteinte à la santé).</t>
        </is>
      </c>
    </row>
    <row r="12">
      <c r="A12" s="4" t="inlineStr">
        <is>
          <t>Puis : gravité (1 à 3) × probabilité (1 à 3) = risque → niveau. Puis 3 mesures, dans l'ordre imposé : 1) conception, 2) protection, 3) information. Puis on recote : c'est le risque résiduel.</t>
        </is>
      </c>
    </row>
    <row r="13">
      <c r="A13" s="4" t="inlineStr"/>
    </row>
    <row r="14">
      <c r="A14" s="3" t="inlineStr">
        <is>
          <t>Onglets</t>
        </is>
      </c>
    </row>
    <row r="15">
      <c r="A15" s="4" t="inlineStr">
        <is>
          <t>Échelles : définitions de la gravité et de la probabilité, seuils des zones, matrice 3 × 3.</t>
        </is>
      </c>
    </row>
    <row r="16">
      <c r="A16" s="4" t="inlineStr">
        <is>
          <t>Analyse de risques : le tableau à remplir (ligne 9 = exemple rempli « batterie vide », à garder ou adapter).</t>
        </is>
      </c>
    </row>
    <row r="17">
      <c r="A17" s="4" t="inlineStr">
        <is>
          <t>Synthèse : nombre de risques dans chaque case de la matrice, avant et après les mesures ; contrôles.</t>
        </is>
      </c>
    </row>
    <row r="18">
      <c r="A18" s="4" t="inlineStr"/>
    </row>
    <row r="19">
      <c r="A19" s="3" t="inlineStr">
        <is>
          <t>Livrable</t>
        </is>
      </c>
    </row>
    <row r="20">
      <c r="A20" s="4" t="inlineStr">
        <is>
          <t>Enregistrez sous analyse_risques_eqNN.xlsx (NN = numéro d'équipe) dans analyses/m3/ du dépôt. Au moins 5 dangers : techniques, d'utilisation, de cybersécurité.</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16" customWidth="1" min="1" max="1"/>
    <col width="22" customWidth="1" min="2" max="2"/>
    <col width="60" customWidth="1" min="3" max="3"/>
    <col width="18" customWidth="1" min="4" max="4"/>
    <col width="18" customWidth="1" min="5" max="5"/>
    <col width="18" customWidth="1" min="6" max="6"/>
  </cols>
  <sheetData>
    <row r="1">
      <c r="A1" s="6" t="inlineStr">
        <is>
          <t>Échelles de cotation (matrice d'exemple, simplifiée pour le cours)</t>
        </is>
      </c>
    </row>
    <row r="3">
      <c r="A3" s="7" t="inlineStr">
        <is>
          <t>Gravité</t>
        </is>
      </c>
      <c r="B3" s="7" t="inlineStr">
        <is>
          <t>Nom</t>
        </is>
      </c>
      <c r="C3" s="7" t="inlineStr">
        <is>
          <t>Ce que ça veut dire (exemple : cas A, EHPAD)</t>
        </is>
      </c>
    </row>
    <row r="4">
      <c r="A4" s="8" t="n">
        <v>1</v>
      </c>
      <c r="B4" s="8" t="inlineStr">
        <is>
          <t>Légère</t>
        </is>
      </c>
      <c r="C4" s="8" t="inlineStr">
        <is>
          <t>Gêne passagère, sans soins (ex. rougeur, résidente réveillée la nuit)</t>
        </is>
      </c>
    </row>
    <row r="5">
      <c r="A5" s="8" t="n">
        <v>2</v>
      </c>
      <c r="B5" s="8" t="inlineStr">
        <is>
          <t>Modérée</t>
        </is>
      </c>
      <c r="C5" s="8" t="inlineStr">
        <is>
          <t>Soins nécessaires, puis guérison (ex. plaie à panser, hématome)</t>
        </is>
      </c>
    </row>
    <row r="6">
      <c r="A6" s="8" t="n">
        <v>3</v>
      </c>
      <c r="B6" s="8" t="inlineStr">
        <is>
          <t>Grave</t>
        </is>
      </c>
      <c r="C6" s="8" t="inlineStr">
        <is>
          <t>Séquelles ou décès (ex. plusieurs heures au sol : déshydratation, escarres, hospitalisation)</t>
        </is>
      </c>
    </row>
    <row r="7">
      <c r="A7" s="7" t="inlineStr">
        <is>
          <t>Probabilité</t>
        </is>
      </c>
      <c r="B7" s="7" t="inlineStr">
        <is>
          <t>Nom</t>
        </is>
      </c>
      <c r="C7" s="7" t="inlineStr">
        <is>
          <t>Ce que ça veut dire (repère pour un EHPAD équipé)</t>
        </is>
      </c>
    </row>
    <row r="8">
      <c r="A8" s="8" t="n">
        <v>1</v>
      </c>
      <c r="B8" s="8" t="inlineStr">
        <is>
          <t>Rare</t>
        </is>
      </c>
      <c r="C8" s="8" t="inlineStr">
        <is>
          <t>On l'imagine difficilement : peut-être une fois en plusieurs années</t>
        </is>
      </c>
    </row>
    <row r="9">
      <c r="A9" s="8" t="n">
        <v>2</v>
      </c>
      <c r="B9" s="8" t="inlineStr">
        <is>
          <t>Possible</t>
        </is>
      </c>
      <c r="C9" s="8" t="inlineStr">
        <is>
          <t>Cela arrivera sans doute un jour : quelques fois par an</t>
        </is>
      </c>
    </row>
    <row r="10">
      <c r="A10" s="8" t="n">
        <v>3</v>
      </c>
      <c r="B10" s="8" t="inlineStr">
        <is>
          <t>Fréquente</t>
        </is>
      </c>
      <c r="C10" s="8" t="inlineStr">
        <is>
          <t>On s'y attend : chaque mois, voire plus souvent</t>
        </is>
      </c>
    </row>
    <row r="12">
      <c r="A12" s="9" t="inlineStr">
        <is>
          <t>Seuils des zones (risque = gravité × probabilité, de 1 à 9)</t>
        </is>
      </c>
    </row>
    <row r="13">
      <c r="A13" s="7" t="inlineStr">
        <is>
          <t>Zone</t>
        </is>
      </c>
      <c r="B13" s="7" t="inlineStr">
        <is>
          <t>Mot des slides</t>
        </is>
      </c>
      <c r="C13" s="7" t="inlineStr">
        <is>
          <t>À partir d'un risque de…</t>
        </is>
      </c>
    </row>
    <row r="14">
      <c r="A14" s="10" t="inlineStr">
        <is>
          <t>À réduire</t>
        </is>
      </c>
      <c r="B14" s="10" t="inlineStr">
        <is>
          <t>Moyen</t>
        </is>
      </c>
      <c r="C14" s="10" t="n">
        <v>3</v>
      </c>
      <c r="D14" t="inlineStr">
        <is>
          <t>Moyen : réduire autant que possible, puis justifier par le bénéfice.</t>
        </is>
      </c>
    </row>
    <row r="15">
      <c r="A15" s="10" t="inlineStr">
        <is>
          <t>Inacceptable</t>
        </is>
      </c>
      <c r="B15" s="10" t="inlineStr">
        <is>
          <t>Élevé</t>
        </is>
      </c>
      <c r="C15" s="10" t="n">
        <v>6</v>
      </c>
      <c r="D15" t="inlineStr">
        <is>
          <t>Élevé : inacceptable en l'état, il faut réduire le risque.</t>
        </is>
      </c>
    </row>
    <row r="16">
      <c r="A16" s="10" t="inlineStr">
        <is>
          <t>Acceptable</t>
        </is>
      </c>
      <c r="B16" s="10" t="inlineStr">
        <is>
          <t>Faible</t>
        </is>
      </c>
      <c r="C16" s="10" t="inlineStr">
        <is>
          <t>en dessous de 3 (1 ou 2)</t>
        </is>
      </c>
      <c r="D16" t="inlineStr">
        <is>
          <t>Faible : acceptable, on le note quand même.</t>
        </is>
      </c>
    </row>
    <row r="18">
      <c r="A18" s="9" t="inlineStr">
        <is>
          <t>Quelles cases dans quelle zone ?</t>
        </is>
      </c>
    </row>
    <row r="19">
      <c r="A19" t="inlineStr">
        <is>
          <t>Faible (acceptable) : Légère × Rare (1), Légère × Possible (2), Modérée × Rare (2).</t>
        </is>
      </c>
    </row>
    <row r="20">
      <c r="A20" t="inlineStr">
        <is>
          <t>Moyen (à réduire) : Légère × Fréquente (3), Grave × Rare (3), Modérée × Possible (4).</t>
        </is>
      </c>
    </row>
    <row r="21">
      <c r="A21" t="inlineStr">
        <is>
          <t>Élevé (inacceptable) : Modérée × Fréquente (6), Grave × Possible (6), Grave × Fréquente (9).</t>
        </is>
      </c>
    </row>
    <row r="22">
      <c r="A22" s="11" t="inlineStr">
        <is>
          <t>Conséquence : un dommage grave ne descend jamais sous « moyen ». On le réduit autant que possible, puis on justifie par le bénéfice pour le patient.</t>
        </is>
      </c>
    </row>
    <row r="24">
      <c r="A24" s="9" t="inlineStr">
        <is>
          <t>Matrice 3 × 3 (calculée)</t>
        </is>
      </c>
    </row>
    <row r="25">
      <c r="A25" s="9" t="inlineStr">
        <is>
          <t>Gravité ↓ / Probabilité →</t>
        </is>
      </c>
      <c r="B25" s="12" t="inlineStr">
        <is>
          <t>1 Rare</t>
        </is>
      </c>
      <c r="C25" s="12" t="inlineStr">
        <is>
          <t>2 Possible</t>
        </is>
      </c>
      <c r="D25" s="12" t="inlineStr">
        <is>
          <t>3 Fréquente</t>
        </is>
      </c>
    </row>
    <row r="26" ht="30" customHeight="1">
      <c r="A26" s="7" t="inlineStr">
        <is>
          <t>3 Grave</t>
        </is>
      </c>
      <c r="B26" s="13">
        <f>VALUE(LEFT($A26,1))*VALUE(LEFT(B$25,1))&amp;" : "&amp;IF(VALUE(LEFT($A26,1))*VALUE(LEFT(B$25,1))&gt;=$C$15,"Élevé",IF(VALUE(LEFT($A26,1))*VALUE(LEFT(B$25,1))&gt;=$C$14,"Moyen","Faible"))</f>
        <v/>
      </c>
      <c r="C26" s="13">
        <f>VALUE(LEFT($A26,1))*VALUE(LEFT(C$25,1))&amp;" : "&amp;IF(VALUE(LEFT($A26,1))*VALUE(LEFT(C$25,1))&gt;=$C$15,"Élevé",IF(VALUE(LEFT($A26,1))*VALUE(LEFT(C$25,1))&gt;=$C$14,"Moyen","Faible"))</f>
        <v/>
      </c>
      <c r="D26" s="13">
        <f>VALUE(LEFT($A26,1))*VALUE(LEFT(D$25,1))&amp;" : "&amp;IF(VALUE(LEFT($A26,1))*VALUE(LEFT(D$25,1))&gt;=$C$15,"Élevé",IF(VALUE(LEFT($A26,1))*VALUE(LEFT(D$25,1))&gt;=$C$14,"Moyen","Faible"))</f>
        <v/>
      </c>
    </row>
    <row r="27" ht="30" customHeight="1">
      <c r="A27" s="7" t="inlineStr">
        <is>
          <t>2 Modérée</t>
        </is>
      </c>
      <c r="B27" s="13">
        <f>VALUE(LEFT($A27,1))*VALUE(LEFT(B$25,1))&amp;" : "&amp;IF(VALUE(LEFT($A27,1))*VALUE(LEFT(B$25,1))&gt;=$C$15,"Élevé",IF(VALUE(LEFT($A27,1))*VALUE(LEFT(B$25,1))&gt;=$C$14,"Moyen","Faible"))</f>
        <v/>
      </c>
      <c r="C27" s="13">
        <f>VALUE(LEFT($A27,1))*VALUE(LEFT(C$25,1))&amp;" : "&amp;IF(VALUE(LEFT($A27,1))*VALUE(LEFT(C$25,1))&gt;=$C$15,"Élevé",IF(VALUE(LEFT($A27,1))*VALUE(LEFT(C$25,1))&gt;=$C$14,"Moyen","Faible"))</f>
        <v/>
      </c>
      <c r="D27" s="13">
        <f>VALUE(LEFT($A27,1))*VALUE(LEFT(D$25,1))&amp;" : "&amp;IF(VALUE(LEFT($A27,1))*VALUE(LEFT(D$25,1))&gt;=$C$15,"Élevé",IF(VALUE(LEFT($A27,1))*VALUE(LEFT(D$25,1))&gt;=$C$14,"Moyen","Faible"))</f>
        <v/>
      </c>
    </row>
    <row r="28" ht="30" customHeight="1">
      <c r="A28" s="7" t="inlineStr">
        <is>
          <t>1 Légère</t>
        </is>
      </c>
      <c r="B28" s="13">
        <f>VALUE(LEFT($A28,1))*VALUE(LEFT(B$25,1))&amp;" : "&amp;IF(VALUE(LEFT($A28,1))*VALUE(LEFT(B$25,1))&gt;=$C$15,"Élevé",IF(VALUE(LEFT($A28,1))*VALUE(LEFT(B$25,1))&gt;=$C$14,"Moyen","Faible"))</f>
        <v/>
      </c>
      <c r="C28" s="13">
        <f>VALUE(LEFT($A28,1))*VALUE(LEFT(C$25,1))&amp;" : "&amp;IF(VALUE(LEFT($A28,1))*VALUE(LEFT(C$25,1))&gt;=$C$15,"Élevé",IF(VALUE(LEFT($A28,1))*VALUE(LEFT(C$25,1))&gt;=$C$14,"Moyen","Faible"))</f>
        <v/>
      </c>
      <c r="D28" s="13">
        <f>VALUE(LEFT($A28,1))*VALUE(LEFT(D$25,1))&amp;" : "&amp;IF(VALUE(LEFT($A28,1))*VALUE(LEFT(D$25,1))&gt;=$C$15,"Élevé",IF(VALUE(LEFT($A28,1))*VALUE(LEFT(D$25,1))&gt;=$C$14,"Moyen","Faible"))</f>
        <v/>
      </c>
    </row>
  </sheetData>
  <conditionalFormatting sqref="B26:D28">
    <cfRule type="expression" priority="1" dxfId="0">
      <formula>ISNUMBER(SEARCH("Élevé",B26))</formula>
    </cfRule>
    <cfRule type="expression" priority="2" dxfId="1">
      <formula>ISNUMBER(SEARCH("Moyen",B26))</formula>
    </cfRule>
    <cfRule type="expression" priority="3" dxfId="2">
      <formula>ISNUMBER(SEARCH("Faible",B26))</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9"/>
  <sheetViews>
    <sheetView zoomScale="85" workbookViewId="0">
      <pane xSplit="3" ySplit="8" topLeftCell="D9" activePane="bottomRight" state="frozen"/>
      <selection pane="topRight"/>
      <selection pane="bottomLeft"/>
      <selection pane="bottomRight" activeCell="A1" sqref="A1"/>
    </sheetView>
  </sheetViews>
  <sheetFormatPr baseColWidth="8" defaultRowHeight="15"/>
  <cols>
    <col width="5" customWidth="1" min="1" max="1"/>
    <col width="15" customWidth="1" min="2" max="2"/>
    <col width="28" customWidth="1" min="3" max="3"/>
    <col width="38" customWidth="1" min="4" max="4"/>
    <col width="30" customWidth="1" min="5" max="5"/>
    <col width="30" customWidth="1" min="6" max="6"/>
    <col width="10" customWidth="1" min="7" max="7"/>
    <col width="11" customWidth="1" min="8" max="8"/>
    <col width="10" customWidth="1" min="9" max="9"/>
    <col width="20" customWidth="1" min="10" max="10"/>
    <col width="38" customWidth="1" min="11" max="11"/>
    <col width="34" customWidth="1" min="12" max="12"/>
    <col width="32" customWidth="1" min="13" max="13"/>
    <col width="10" customWidth="1" min="14" max="14"/>
    <col width="11" customWidth="1" min="15" max="15"/>
    <col width="10" customWidth="1" min="16" max="16"/>
    <col width="20" customWidth="1" min="17" max="17"/>
    <col width="46" customWidth="1" min="18" max="18"/>
  </cols>
  <sheetData>
    <row r="1">
      <c r="A1" s="6" t="inlineStr">
        <is>
          <t>Analyse de risques de votre projet (ISO 14971 simplifiée)</t>
        </is>
      </c>
    </row>
    <row r="2">
      <c r="A2" s="9" t="inlineStr">
        <is>
          <t>Équipe (numéro)</t>
        </is>
      </c>
      <c r="C2" s="14" t="inlineStr">
        <is>
          <t>eq00</t>
        </is>
      </c>
    </row>
    <row r="3">
      <c r="A3" s="9" t="inlineStr">
        <is>
          <t>Cas d'usage</t>
        </is>
      </c>
      <c r="C3" s="14" t="n"/>
    </row>
    <row r="4">
      <c r="A4" s="9" t="inlineStr">
        <is>
          <t>Finalité en une phrase</t>
        </is>
      </c>
      <c r="C4" s="14" t="n"/>
    </row>
    <row r="7">
      <c r="A7" s="15" t="inlineStr">
        <is>
          <t>1. LA CHAÎNE DU RISQUE (dominos)</t>
        </is>
      </c>
      <c r="G7" s="16" t="inlineStr">
        <is>
          <t>2. COTATION AVANT MESURES</t>
        </is>
      </c>
      <c r="K7" s="17" t="inlineStr">
        <is>
          <t>3. MESURES, DANS L'ORDRE IMPOSÉ</t>
        </is>
      </c>
      <c r="N7" s="16" t="inlineStr">
        <is>
          <t>4. RISQUE RÉSIDUEL</t>
        </is>
      </c>
      <c r="R7" s="18" t="inlineStr">
        <is>
          <t>5. JUSTIFIER</t>
        </is>
      </c>
    </row>
    <row r="8" ht="48" customHeight="1">
      <c r="A8" s="12" t="inlineStr">
        <is>
          <t>N°</t>
        </is>
      </c>
      <c r="B8" s="12" t="inlineStr">
        <is>
          <t>Type de danger</t>
        </is>
      </c>
      <c r="C8" s="12" t="inlineStr">
        <is>
          <t>Danger</t>
        </is>
      </c>
      <c r="D8" s="12" t="inlineStr">
        <is>
          <t>Séquence d'événements</t>
        </is>
      </c>
      <c r="E8" s="12" t="inlineStr">
        <is>
          <t>Situation dangereuse</t>
        </is>
      </c>
      <c r="F8" s="12" t="inlineStr">
        <is>
          <t>Dommage</t>
        </is>
      </c>
      <c r="G8" s="12" t="inlineStr">
        <is>
          <t>Gravité (1-3)</t>
        </is>
      </c>
      <c r="H8" s="12" t="inlineStr">
        <is>
          <t>Probabilité (1-3)</t>
        </is>
      </c>
      <c r="I8" s="12" t="inlineStr">
        <is>
          <t>Risque = G × P</t>
        </is>
      </c>
      <c r="J8" s="12" t="inlineStr">
        <is>
          <t>Niveau</t>
        </is>
      </c>
      <c r="K8" s="12" t="inlineStr">
        <is>
          <t>Mesure 1 — sécurité par la conception</t>
        </is>
      </c>
      <c r="L8" s="12" t="inlineStr">
        <is>
          <t>Mesure 2 — protection (alarme, garde-fou)</t>
        </is>
      </c>
      <c r="M8" s="12" t="inlineStr">
        <is>
          <t>Mesure 3 — information (notice, formation)</t>
        </is>
      </c>
      <c r="N8" s="12" t="inlineStr">
        <is>
          <t>Gravité après</t>
        </is>
      </c>
      <c r="O8" s="12" t="inlineStr">
        <is>
          <t>Probabilité après</t>
        </is>
      </c>
      <c r="P8" s="12" t="inlineStr">
        <is>
          <t>Risque résiduel</t>
        </is>
      </c>
      <c r="Q8" s="12" t="inlineStr">
        <is>
          <t>Niveau résiduel</t>
        </is>
      </c>
      <c r="R8" s="12" t="inlineStr">
        <is>
          <t>Lien module 2, bénéfice / risque, commentaire</t>
        </is>
      </c>
    </row>
    <row r="9" ht="105" customHeight="1">
      <c r="A9" s="13" t="n">
        <v>1</v>
      </c>
      <c r="B9" s="19" t="inlineStr">
        <is>
          <t>Technique</t>
        </is>
      </c>
      <c r="C9" s="19" t="inlineStr">
        <is>
          <t>Batterie vide : le capteur ne peut plus envoyer d'alerte</t>
        </is>
      </c>
      <c r="D9" s="19" t="inlineStr">
        <is>
          <t>Recharge oubliée → batterie vide, capteur éteint la nuit → la résidente se lève et chute</t>
        </is>
      </c>
      <c r="E9" s="19" t="inlineStr">
        <is>
          <t>La résidente est au sol, personne n'est prévenu</t>
        </is>
      </c>
      <c r="F9" s="19" t="inlineStr">
        <is>
          <t>Longue attente au sol (plusieurs heures) : froid, déshydratation, escarres, hospitalisation</t>
        </is>
      </c>
      <c r="G9" s="20" t="n">
        <v>3</v>
      </c>
      <c r="H9" s="20" t="n">
        <v>3</v>
      </c>
      <c r="I9" s="13">
        <f>IF(OR(G9="",H9=""),"",G9*H9)</f>
        <v/>
      </c>
      <c r="J9" s="13">
        <f>IF(I9="","",IF(I9&gt;='Échelles'!$C$15,"Élevé : inacceptable",IF(I9&gt;='Échelles'!$C$14,"Moyen : à réduire","Faible : acceptable")))</f>
        <v/>
      </c>
      <c r="K9" s="19" t="inlineStr">
        <is>
          <t>Batterie qui tient largement : au moins 7 jours (TP M2-4), mode sommeil entre deux mesures</t>
        </is>
      </c>
      <c r="L9" s="19" t="inlineStr">
        <is>
          <t>Alerte « batterie faible » au poste de soins ; alerte si l'objet se tait (pas de signe de vie depuis 1 h)</t>
        </is>
      </c>
      <c r="M9" s="19" t="inlineStr">
        <is>
          <t>Notice : « recharger chaque semaine » ; recharge inscrite au protocole de soins (ex. à la toilette) ; formation</t>
        </is>
      </c>
      <c r="N9" s="20" t="n">
        <v>3</v>
      </c>
      <c r="O9" s="20" t="n">
        <v>1</v>
      </c>
      <c r="P9" s="13">
        <f>IF(OR(N9="",O9=""),"",N9*O9)</f>
        <v/>
      </c>
      <c r="Q9" s="13">
        <f>IF(P9="","",IF(P9&gt;='Échelles'!$C$15,"Élevé : inacceptable",IF(P9&gt;='Échelles'!$C$14,"Moyen : à réduire","Faible : acceptable")))</f>
        <v/>
      </c>
      <c r="R9" s="19" t="inlineStr">
        <is>
          <t>Lien M2 : calcul d'autonomie du TP M2-4, à confirmer par la mesure au projet 1. Grave reste grave : au mieux « moyen ». Bénéfice : les chutes de nuit sont signalées en minutes, pas découvertes à la ronde.</t>
        </is>
      </c>
    </row>
    <row r="10" ht="60" customHeight="1">
      <c r="A10" s="13" t="n">
        <v>2</v>
      </c>
      <c r="B10" s="21" t="n"/>
      <c r="C10" s="21" t="n"/>
      <c r="D10" s="21" t="n"/>
      <c r="E10" s="21" t="n"/>
      <c r="F10" s="21" t="n"/>
      <c r="G10" s="22" t="n"/>
      <c r="H10" s="22" t="n"/>
      <c r="I10" s="13">
        <f>IF(OR(G10="",H10=""),"",G10*H10)</f>
        <v/>
      </c>
      <c r="J10" s="13">
        <f>IF(I10="","",IF(I10&gt;='Échelles'!$C$15,"Élevé : inacceptable",IF(I10&gt;='Échelles'!$C$14,"Moyen : à réduire","Faible : acceptable")))</f>
        <v/>
      </c>
      <c r="K10" s="21" t="n"/>
      <c r="L10" s="21" t="n"/>
      <c r="M10" s="21" t="n"/>
      <c r="N10" s="22" t="n"/>
      <c r="O10" s="22" t="n"/>
      <c r="P10" s="13">
        <f>IF(OR(N10="",O10=""),"",N10*O10)</f>
        <v/>
      </c>
      <c r="Q10" s="13">
        <f>IF(P10="","",IF(P10&gt;='Échelles'!$C$15,"Élevé : inacceptable",IF(P10&gt;='Échelles'!$C$14,"Moyen : à réduire","Faible : acceptable")))</f>
        <v/>
      </c>
      <c r="R10" s="21" t="n"/>
    </row>
    <row r="11" ht="60" customHeight="1">
      <c r="A11" s="13" t="n">
        <v>3</v>
      </c>
      <c r="B11" s="21" t="n"/>
      <c r="C11" s="21" t="n"/>
      <c r="D11" s="21" t="n"/>
      <c r="E11" s="21" t="n"/>
      <c r="F11" s="21" t="n"/>
      <c r="G11" s="22" t="n"/>
      <c r="H11" s="22" t="n"/>
      <c r="I11" s="13">
        <f>IF(OR(G11="",H11=""),"",G11*H11)</f>
        <v/>
      </c>
      <c r="J11" s="13">
        <f>IF(I11="","",IF(I11&gt;='Échelles'!$C$15,"Élevé : inacceptable",IF(I11&gt;='Échelles'!$C$14,"Moyen : à réduire","Faible : acceptable")))</f>
        <v/>
      </c>
      <c r="K11" s="21" t="n"/>
      <c r="L11" s="21" t="n"/>
      <c r="M11" s="21" t="n"/>
      <c r="N11" s="22" t="n"/>
      <c r="O11" s="22" t="n"/>
      <c r="P11" s="13">
        <f>IF(OR(N11="",O11=""),"",N11*O11)</f>
        <v/>
      </c>
      <c r="Q11" s="13">
        <f>IF(P11="","",IF(P11&gt;='Échelles'!$C$15,"Élevé : inacceptable",IF(P11&gt;='Échelles'!$C$14,"Moyen : à réduire","Faible : acceptable")))</f>
        <v/>
      </c>
      <c r="R11" s="21" t="n"/>
    </row>
    <row r="12" ht="60" customHeight="1">
      <c r="A12" s="13" t="n">
        <v>4</v>
      </c>
      <c r="B12" s="21" t="n"/>
      <c r="C12" s="21" t="n"/>
      <c r="D12" s="21" t="n"/>
      <c r="E12" s="21" t="n"/>
      <c r="F12" s="21" t="n"/>
      <c r="G12" s="22" t="n"/>
      <c r="H12" s="22" t="n"/>
      <c r="I12" s="13">
        <f>IF(OR(G12="",H12=""),"",G12*H12)</f>
        <v/>
      </c>
      <c r="J12" s="13">
        <f>IF(I12="","",IF(I12&gt;='Échelles'!$C$15,"Élevé : inacceptable",IF(I12&gt;='Échelles'!$C$14,"Moyen : à réduire","Faible : acceptable")))</f>
        <v/>
      </c>
      <c r="K12" s="21" t="n"/>
      <c r="L12" s="21" t="n"/>
      <c r="M12" s="21" t="n"/>
      <c r="N12" s="22" t="n"/>
      <c r="O12" s="22" t="n"/>
      <c r="P12" s="13">
        <f>IF(OR(N12="",O12=""),"",N12*O12)</f>
        <v/>
      </c>
      <c r="Q12" s="13">
        <f>IF(P12="","",IF(P12&gt;='Échelles'!$C$15,"Élevé : inacceptable",IF(P12&gt;='Échelles'!$C$14,"Moyen : à réduire","Faible : acceptable")))</f>
        <v/>
      </c>
      <c r="R12" s="21" t="n"/>
    </row>
    <row r="13" ht="60" customHeight="1">
      <c r="A13" s="13" t="n">
        <v>5</v>
      </c>
      <c r="B13" s="21" t="n"/>
      <c r="C13" s="21" t="n"/>
      <c r="D13" s="21" t="n"/>
      <c r="E13" s="21" t="n"/>
      <c r="F13" s="21" t="n"/>
      <c r="G13" s="22" t="n"/>
      <c r="H13" s="22" t="n"/>
      <c r="I13" s="13">
        <f>IF(OR(G13="",H13=""),"",G13*H13)</f>
        <v/>
      </c>
      <c r="J13" s="13">
        <f>IF(I13="","",IF(I13&gt;='Échelles'!$C$15,"Élevé : inacceptable",IF(I13&gt;='Échelles'!$C$14,"Moyen : à réduire","Faible : acceptable")))</f>
        <v/>
      </c>
      <c r="K13" s="21" t="n"/>
      <c r="L13" s="21" t="n"/>
      <c r="M13" s="21" t="n"/>
      <c r="N13" s="22" t="n"/>
      <c r="O13" s="22" t="n"/>
      <c r="P13" s="13">
        <f>IF(OR(N13="",O13=""),"",N13*O13)</f>
        <v/>
      </c>
      <c r="Q13" s="13">
        <f>IF(P13="","",IF(P13&gt;='Échelles'!$C$15,"Élevé : inacceptable",IF(P13&gt;='Échelles'!$C$14,"Moyen : à réduire","Faible : acceptable")))</f>
        <v/>
      </c>
      <c r="R13" s="21" t="n"/>
    </row>
    <row r="14" ht="60" customHeight="1">
      <c r="A14" s="13" t="n">
        <v>6</v>
      </c>
      <c r="B14" s="21" t="n"/>
      <c r="C14" s="21" t="n"/>
      <c r="D14" s="21" t="n"/>
      <c r="E14" s="21" t="n"/>
      <c r="F14" s="21" t="n"/>
      <c r="G14" s="22" t="n"/>
      <c r="H14" s="22" t="n"/>
      <c r="I14" s="13">
        <f>IF(OR(G14="",H14=""),"",G14*H14)</f>
        <v/>
      </c>
      <c r="J14" s="13">
        <f>IF(I14="","",IF(I14&gt;='Échelles'!$C$15,"Élevé : inacceptable",IF(I14&gt;='Échelles'!$C$14,"Moyen : à réduire","Faible : acceptable")))</f>
        <v/>
      </c>
      <c r="K14" s="21" t="n"/>
      <c r="L14" s="21" t="n"/>
      <c r="M14" s="21" t="n"/>
      <c r="N14" s="22" t="n"/>
      <c r="O14" s="22" t="n"/>
      <c r="P14" s="13">
        <f>IF(OR(N14="",O14=""),"",N14*O14)</f>
        <v/>
      </c>
      <c r="Q14" s="13">
        <f>IF(P14="","",IF(P14&gt;='Échelles'!$C$15,"Élevé : inacceptable",IF(P14&gt;='Échelles'!$C$14,"Moyen : à réduire","Faible : acceptable")))</f>
        <v/>
      </c>
      <c r="R14" s="21" t="n"/>
    </row>
    <row r="15" ht="60" customHeight="1">
      <c r="A15" s="13" t="n">
        <v>7</v>
      </c>
      <c r="B15" s="21" t="n"/>
      <c r="C15" s="21" t="n"/>
      <c r="D15" s="21" t="n"/>
      <c r="E15" s="21" t="n"/>
      <c r="F15" s="21" t="n"/>
      <c r="G15" s="22" t="n"/>
      <c r="H15" s="22" t="n"/>
      <c r="I15" s="13">
        <f>IF(OR(G15="",H15=""),"",G15*H15)</f>
        <v/>
      </c>
      <c r="J15" s="13">
        <f>IF(I15="","",IF(I15&gt;='Échelles'!$C$15,"Élevé : inacceptable",IF(I15&gt;='Échelles'!$C$14,"Moyen : à réduire","Faible : acceptable")))</f>
        <v/>
      </c>
      <c r="K15" s="21" t="n"/>
      <c r="L15" s="21" t="n"/>
      <c r="M15" s="21" t="n"/>
      <c r="N15" s="22" t="n"/>
      <c r="O15" s="22" t="n"/>
      <c r="P15" s="13">
        <f>IF(OR(N15="",O15=""),"",N15*O15)</f>
        <v/>
      </c>
      <c r="Q15" s="13">
        <f>IF(P15="","",IF(P15&gt;='Échelles'!$C$15,"Élevé : inacceptable",IF(P15&gt;='Échelles'!$C$14,"Moyen : à réduire","Faible : acceptable")))</f>
        <v/>
      </c>
      <c r="R15" s="21" t="n"/>
    </row>
    <row r="16" ht="60" customHeight="1">
      <c r="A16" s="13" t="n">
        <v>8</v>
      </c>
      <c r="B16" s="21" t="n"/>
      <c r="C16" s="21" t="n"/>
      <c r="D16" s="21" t="n"/>
      <c r="E16" s="21" t="n"/>
      <c r="F16" s="21" t="n"/>
      <c r="G16" s="22" t="n"/>
      <c r="H16" s="22" t="n"/>
      <c r="I16" s="13">
        <f>IF(OR(G16="",H16=""),"",G16*H16)</f>
        <v/>
      </c>
      <c r="J16" s="13">
        <f>IF(I16="","",IF(I16&gt;='Échelles'!$C$15,"Élevé : inacceptable",IF(I16&gt;='Échelles'!$C$14,"Moyen : à réduire","Faible : acceptable")))</f>
        <v/>
      </c>
      <c r="K16" s="21" t="n"/>
      <c r="L16" s="21" t="n"/>
      <c r="M16" s="21" t="n"/>
      <c r="N16" s="22" t="n"/>
      <c r="O16" s="22" t="n"/>
      <c r="P16" s="13">
        <f>IF(OR(N16="",O16=""),"",N16*O16)</f>
        <v/>
      </c>
      <c r="Q16" s="13">
        <f>IF(P16="","",IF(P16&gt;='Échelles'!$C$15,"Élevé : inacceptable",IF(P16&gt;='Échelles'!$C$14,"Moyen : à réduire","Faible : acceptable")))</f>
        <v/>
      </c>
      <c r="R16" s="21" t="n"/>
    </row>
    <row r="17" ht="60" customHeight="1">
      <c r="A17" s="13" t="n">
        <v>9</v>
      </c>
      <c r="B17" s="21" t="n"/>
      <c r="C17" s="21" t="n"/>
      <c r="D17" s="21" t="n"/>
      <c r="E17" s="21" t="n"/>
      <c r="F17" s="21" t="n"/>
      <c r="G17" s="22" t="n"/>
      <c r="H17" s="22" t="n"/>
      <c r="I17" s="13">
        <f>IF(OR(G17="",H17=""),"",G17*H17)</f>
        <v/>
      </c>
      <c r="J17" s="13">
        <f>IF(I17="","",IF(I17&gt;='Échelles'!$C$15,"Élevé : inacceptable",IF(I17&gt;='Échelles'!$C$14,"Moyen : à réduire","Faible : acceptable")))</f>
        <v/>
      </c>
      <c r="K17" s="21" t="n"/>
      <c r="L17" s="21" t="n"/>
      <c r="M17" s="21" t="n"/>
      <c r="N17" s="22" t="n"/>
      <c r="O17" s="22" t="n"/>
      <c r="P17" s="13">
        <f>IF(OR(N17="",O17=""),"",N17*O17)</f>
        <v/>
      </c>
      <c r="Q17" s="13">
        <f>IF(P17="","",IF(P17&gt;='Échelles'!$C$15,"Élevé : inacceptable",IF(P17&gt;='Échelles'!$C$14,"Moyen : à réduire","Faible : acceptable")))</f>
        <v/>
      </c>
      <c r="R17" s="21" t="n"/>
    </row>
    <row r="18" ht="60" customHeight="1">
      <c r="A18" s="13" t="n">
        <v>10</v>
      </c>
      <c r="B18" s="21" t="n"/>
      <c r="C18" s="21" t="n"/>
      <c r="D18" s="21" t="n"/>
      <c r="E18" s="21" t="n"/>
      <c r="F18" s="21" t="n"/>
      <c r="G18" s="22" t="n"/>
      <c r="H18" s="22" t="n"/>
      <c r="I18" s="13">
        <f>IF(OR(G18="",H18=""),"",G18*H18)</f>
        <v/>
      </c>
      <c r="J18" s="13">
        <f>IF(I18="","",IF(I18&gt;='Échelles'!$C$15,"Élevé : inacceptable",IF(I18&gt;='Échelles'!$C$14,"Moyen : à réduire","Faible : acceptable")))</f>
        <v/>
      </c>
      <c r="K18" s="21" t="n"/>
      <c r="L18" s="21" t="n"/>
      <c r="M18" s="21" t="n"/>
      <c r="N18" s="22" t="n"/>
      <c r="O18" s="22" t="n"/>
      <c r="P18" s="13">
        <f>IF(OR(N18="",O18=""),"",N18*O18)</f>
        <v/>
      </c>
      <c r="Q18" s="13">
        <f>IF(P18="","",IF(P18&gt;='Échelles'!$C$15,"Élevé : inacceptable",IF(P18&gt;='Échelles'!$C$14,"Moyen : à réduire","Faible : acceptable")))</f>
        <v/>
      </c>
      <c r="R18" s="21" t="n"/>
    </row>
    <row r="19">
      <c r="A19" s="11" t="inlineStr">
        <is>
          <t>Ligne 1 = exemple rempli (police bleue en italique) : gardez-le s'il vaut pour votre projet, ou remplacez-le.</t>
        </is>
      </c>
    </row>
  </sheetData>
  <mergeCells count="11">
    <mergeCell ref="A4:B4"/>
    <mergeCell ref="A2:B2"/>
    <mergeCell ref="C3:F3"/>
    <mergeCell ref="C4:F4"/>
    <mergeCell ref="R7"/>
    <mergeCell ref="N7:Q7"/>
    <mergeCell ref="G7:J7"/>
    <mergeCell ref="C2:F2"/>
    <mergeCell ref="A3:B3"/>
    <mergeCell ref="K7:M7"/>
    <mergeCell ref="A7:F7"/>
  </mergeCells>
  <conditionalFormatting sqref="I9:J18">
    <cfRule type="expression" priority="1" dxfId="0">
      <formula>LEFT($J9,5)="Élevé"</formula>
    </cfRule>
    <cfRule type="expression" priority="2" dxfId="1">
      <formula>LEFT($J9,5)="Moyen"</formula>
    </cfRule>
    <cfRule type="expression" priority="3" dxfId="2">
      <formula>LEFT($J9,6)="Faible"</formula>
    </cfRule>
  </conditionalFormatting>
  <conditionalFormatting sqref="P9:Q18">
    <cfRule type="expression" priority="4" dxfId="0">
      <formula>LEFT($Q9,5)="Élevé"</formula>
    </cfRule>
    <cfRule type="expression" priority="5" dxfId="1">
      <formula>LEFT($Q9,5)="Moyen"</formula>
    </cfRule>
    <cfRule type="expression" priority="6" dxfId="2">
      <formula>LEFT($Q9,6)="Faible"</formula>
    </cfRule>
  </conditionalFormatting>
  <dataValidations count="3">
    <dataValidation sqref="C3" showDropDown="0" showInputMessage="0" showErrorMessage="0" allowBlank="1" type="list">
      <formula1>"A (chute),B (insuffisance cardiaque),C (BPCO),D (AVC),E (escarres),F (pilulier)"</formula1>
    </dataValidation>
    <dataValidation sqref="B9 B10 B11 B12 B13 B14 B15 B16 B17 B18" showDropDown="0" showInputMessage="0" showErrorMessage="0" allowBlank="1" errorTitle="Valeur non prévue" error="Choisissez une valeur de la liste." promptTitle="Choix" prompt="Technique, Utilisation ou Cybersécurité" type="list">
      <formula1>"Technique,Utilisation,Cybersécurité"</formula1>
    </dataValidation>
    <dataValidation sqref="G9 G10 G11 G12 G13 G14 G15 G16 G17 G18 H9 H10 H11 H12 H13 H14 H15 H16 H17 H18 N9 N10 N11 N12 N13 N14 N15 N16 N17 N18 O9 O10 O11 O12 O13 O14 O15 O16 O17 O18" showDropDown="0" showInputMessage="0" showErrorMessage="0" allowBlank="1" errorTitle="Valeur non prévue" error="Choisissez une valeur de la liste." promptTitle="Choix" prompt="1, 2 ou 3 (voir l'onglet Échelles)" type="list">
      <formula1>"1,2,3"</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6"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6" t="inlineStr">
        <is>
          <t>Synthèse : où sont vos risques ? (calculée automatiquement)</t>
        </is>
      </c>
    </row>
    <row r="3">
      <c r="A3" s="9" t="inlineStr">
        <is>
          <t>AVANT les mesures</t>
        </is>
      </c>
      <c r="E3" s="9" t="inlineStr">
        <is>
          <t>APRÈS les mesures (risque résiduel)</t>
        </is>
      </c>
    </row>
    <row r="4">
      <c r="A4" s="9" t="inlineStr">
        <is>
          <t>Gravité ↓ / Probabilité →</t>
        </is>
      </c>
      <c r="B4" s="12" t="inlineStr">
        <is>
          <t>1 Rare</t>
        </is>
      </c>
      <c r="C4" s="12" t="inlineStr">
        <is>
          <t>2 Possible</t>
        </is>
      </c>
      <c r="D4" s="12" t="inlineStr">
        <is>
          <t>3 Fréquente</t>
        </is>
      </c>
      <c r="E4" s="9" t="inlineStr">
        <is>
          <t>Gravité ↓ / Probabilité →</t>
        </is>
      </c>
      <c r="F4" s="12" t="inlineStr">
        <is>
          <t>1 Rare</t>
        </is>
      </c>
      <c r="G4" s="12" t="inlineStr">
        <is>
          <t>2 Possible</t>
        </is>
      </c>
      <c r="H4" s="12" t="inlineStr">
        <is>
          <t>3 Fréquente</t>
        </is>
      </c>
    </row>
    <row r="5" ht="28" customHeight="1">
      <c r="A5" s="7" t="inlineStr">
        <is>
          <t>3 Grave</t>
        </is>
      </c>
      <c r="B5" s="23">
        <f>COUNTIFS('Analyse de risques'!$G$9:$G$18,3,'Analyse de risques'!$H$9:$H$18,1)</f>
        <v/>
      </c>
      <c r="C5" s="24">
        <f>COUNTIFS('Analyse de risques'!$G$9:$G$18,3,'Analyse de risques'!$H$9:$H$18,2)</f>
        <v/>
      </c>
      <c r="D5" s="24">
        <f>COUNTIFS('Analyse de risques'!$G$9:$G$18,3,'Analyse de risques'!$H$9:$H$18,3)</f>
        <v/>
      </c>
      <c r="E5" s="7" t="inlineStr">
        <is>
          <t>3 Grave</t>
        </is>
      </c>
      <c r="F5" s="23">
        <f>COUNTIFS('Analyse de risques'!$N$9:$N$18,3,'Analyse de risques'!$O$9:$O$18,1)</f>
        <v/>
      </c>
      <c r="G5" s="24">
        <f>COUNTIFS('Analyse de risques'!$N$9:$N$18,3,'Analyse de risques'!$O$9:$O$18,2)</f>
        <v/>
      </c>
      <c r="H5" s="24">
        <f>COUNTIFS('Analyse de risques'!$N$9:$N$18,3,'Analyse de risques'!$O$9:$O$18,3)</f>
        <v/>
      </c>
    </row>
    <row r="6" ht="28" customHeight="1">
      <c r="A6" s="7" t="inlineStr">
        <is>
          <t>2 Modérée</t>
        </is>
      </c>
      <c r="B6" s="25">
        <f>COUNTIFS('Analyse de risques'!$G$9:$G$18,2,'Analyse de risques'!$H$9:$H$18,1)</f>
        <v/>
      </c>
      <c r="C6" s="23">
        <f>COUNTIFS('Analyse de risques'!$G$9:$G$18,2,'Analyse de risques'!$H$9:$H$18,2)</f>
        <v/>
      </c>
      <c r="D6" s="24">
        <f>COUNTIFS('Analyse de risques'!$G$9:$G$18,2,'Analyse de risques'!$H$9:$H$18,3)</f>
        <v/>
      </c>
      <c r="E6" s="7" t="inlineStr">
        <is>
          <t>2 Modérée</t>
        </is>
      </c>
      <c r="F6" s="25">
        <f>COUNTIFS('Analyse de risques'!$N$9:$N$18,2,'Analyse de risques'!$O$9:$O$18,1)</f>
        <v/>
      </c>
      <c r="G6" s="23">
        <f>COUNTIFS('Analyse de risques'!$N$9:$N$18,2,'Analyse de risques'!$O$9:$O$18,2)</f>
        <v/>
      </c>
      <c r="H6" s="24">
        <f>COUNTIFS('Analyse de risques'!$N$9:$N$18,2,'Analyse de risques'!$O$9:$O$18,3)</f>
        <v/>
      </c>
    </row>
    <row r="7" ht="28" customHeight="1">
      <c r="A7" s="7" t="inlineStr">
        <is>
          <t>1 Légère</t>
        </is>
      </c>
      <c r="B7" s="25">
        <f>COUNTIFS('Analyse de risques'!$G$9:$G$18,1,'Analyse de risques'!$H$9:$H$18,1)</f>
        <v/>
      </c>
      <c r="C7" s="25">
        <f>COUNTIFS('Analyse de risques'!$G$9:$G$18,1,'Analyse de risques'!$H$9:$H$18,2)</f>
        <v/>
      </c>
      <c r="D7" s="23">
        <f>COUNTIFS('Analyse de risques'!$G$9:$G$18,1,'Analyse de risques'!$H$9:$H$18,3)</f>
        <v/>
      </c>
      <c r="E7" s="7" t="inlineStr">
        <is>
          <t>1 Légère</t>
        </is>
      </c>
      <c r="F7" s="25">
        <f>COUNTIFS('Analyse de risques'!$N$9:$N$18,1,'Analyse de risques'!$O$9:$O$18,1)</f>
        <v/>
      </c>
      <c r="G7" s="25">
        <f>COUNTIFS('Analyse de risques'!$N$9:$N$18,1,'Analyse de risques'!$O$9:$O$18,2)</f>
        <v/>
      </c>
      <c r="H7" s="23">
        <f>COUNTIFS('Analyse de risques'!$N$9:$N$18,1,'Analyse de risques'!$O$9:$O$18,3)</f>
        <v/>
      </c>
    </row>
    <row r="8">
      <c r="A8" s="26" t="inlineStr">
        <is>
          <t>(nombre de risques dans chaque case)</t>
        </is>
      </c>
      <c r="E8" s="26" t="inlineStr">
        <is>
          <t>(nombre de risques dans chaque case)</t>
        </is>
      </c>
    </row>
    <row r="11">
      <c r="A11" s="9" t="inlineStr">
        <is>
          <t>Contrôles</t>
        </is>
      </c>
    </row>
    <row r="12">
      <c r="A12" s="10" t="inlineStr">
        <is>
          <t>Dangers listés</t>
        </is>
      </c>
      <c r="B12" s="13">
        <f>COUNTA('Analyse de risques'!$C$9:$C$18)</f>
        <v/>
      </c>
      <c r="C12" s="10">
        <f>IF(B12&gt;=5,"OK : au moins 5 dangers","Visez au moins 5 dangers")</f>
        <v/>
      </c>
      <c r="D12" s="27" t="n"/>
      <c r="E12" s="27" t="n"/>
      <c r="F12" s="27" t="n"/>
      <c r="G12" s="27" t="n"/>
      <c r="H12" s="28" t="n"/>
    </row>
    <row r="13">
      <c r="A13" s="10" t="inlineStr">
        <is>
          <t>dont techniques</t>
        </is>
      </c>
      <c r="B13" s="13">
        <f>COUNTIF('Analyse de risques'!$B$9:$B$18,"Technique")</f>
        <v/>
      </c>
      <c r="C13" s="10">
        <f>IF(B13&gt;=1,"OK","Ajoutez un danger technique")</f>
        <v/>
      </c>
      <c r="D13" s="27" t="n"/>
      <c r="E13" s="27" t="n"/>
      <c r="F13" s="27" t="n"/>
      <c r="G13" s="27" t="n"/>
      <c r="H13" s="28" t="n"/>
    </row>
    <row r="14">
      <c r="A14" s="10" t="inlineStr">
        <is>
          <t>dont d'utilisation</t>
        </is>
      </c>
      <c r="B14" s="13">
        <f>COUNTIF('Analyse de risques'!$B$9:$B$18,"Utilisation")</f>
        <v/>
      </c>
      <c r="C14" s="10">
        <f>IF(B14&gt;=1,"OK","Ajoutez un danger d'utilisation")</f>
        <v/>
      </c>
      <c r="D14" s="27" t="n"/>
      <c r="E14" s="27" t="n"/>
      <c r="F14" s="27" t="n"/>
      <c r="G14" s="27" t="n"/>
      <c r="H14" s="28" t="n"/>
    </row>
    <row r="15">
      <c r="A15" s="10" t="inlineStr">
        <is>
          <t>dont de cybersécurité</t>
        </is>
      </c>
      <c r="B15" s="13">
        <f>COUNTIF('Analyse de risques'!$B$9:$B$18,"Cybersécurité")</f>
        <v/>
      </c>
      <c r="C15" s="10">
        <f>IF(B15&gt;=1,"OK","Ajoutez un danger de cybersécurité")</f>
        <v/>
      </c>
      <c r="D15" s="27" t="n"/>
      <c r="E15" s="27" t="n"/>
      <c r="F15" s="27" t="n"/>
      <c r="G15" s="27" t="n"/>
      <c r="H15" s="28" t="n"/>
    </row>
    <row r="16">
      <c r="A16" s="10" t="inlineStr">
        <is>
          <t>Risques « élevés » après mesures</t>
        </is>
      </c>
      <c r="B16" s="13">
        <f>COUNTIF('Analyse de risques'!$Q$9:$Q$18,"Élevé*")</f>
        <v/>
      </c>
      <c r="C16" s="10">
        <f>IF(B16=0,"OK : aucun risque inacceptable restant","Il reste un risque inacceptable : ajoutez une mesure")</f>
        <v/>
      </c>
      <c r="D16" s="27" t="n"/>
      <c r="E16" s="27" t="n"/>
      <c r="F16" s="27" t="n"/>
      <c r="G16" s="27" t="n"/>
      <c r="H16" s="28" t="n"/>
    </row>
  </sheetData>
  <mergeCells count="5">
    <mergeCell ref="C16:H16"/>
    <mergeCell ref="C14:H14"/>
    <mergeCell ref="C13:H13"/>
    <mergeCell ref="C12:H12"/>
    <mergeCell ref="C15:H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2026-10-14T06:51:41Z</dcterms:created>
  <dcterms:modified xmlns:dcterms="http://purl.org/dc/terms/" xmlns:xsi="http://www.w3.org/2001/XMLSchema-instance" xsi:type="dcterms:W3CDTF">2026-10-14T06:51:41Z</dcterms:modified>
</cp:coreProperties>
</file>